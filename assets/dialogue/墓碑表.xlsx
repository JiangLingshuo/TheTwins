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Zhang\OneDrive - The University of Chicago\gamejam\thatgamejam\"/>
    </mc:Choice>
  </mc:AlternateContent>
  <xr:revisionPtr revIDLastSave="0" documentId="13_ncr:1_{7A31BF16-ED77-442F-86F7-94CDF2CDE34A}" xr6:coauthVersionLast="47" xr6:coauthVersionMax="47" xr10:uidLastSave="{00000000-0000-0000-0000-000000000000}"/>
  <bookViews>
    <workbookView xWindow="-25965" yWindow="-16320" windowWidth="29040" windowHeight="15720" activeTab="6" xr2:uid="{00000000-000D-0000-FFFF-FFFF00000000}"/>
  </bookViews>
  <sheets>
    <sheet name="01_婴儿小碑" sheetId="2" r:id="rId1"/>
    <sheet name="02_学者晶石碑" sheetId="3" r:id="rId2"/>
    <sheet name="03_大亨金钱碑" sheetId="4" r:id="rId3"/>
    <sheet name="04_小女孩终局碑" sheetId="5" r:id="rId4"/>
    <sheet name="05_婴儿夜城祭坛" sheetId="7" r:id="rId5"/>
    <sheet name="06_夜母石碑" sheetId="8" r:id="rId6"/>
    <sheet name="07_夜父石碑" sheetId="9" r:id="rId7"/>
    <sheet name="05_年表与年龄" sheetId="6"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0" i="6" l="1"/>
  <c r="B36" i="6"/>
  <c r="B35" i="6"/>
  <c r="B29" i="6"/>
  <c r="F29" i="6" s="1"/>
  <c r="B28" i="6"/>
  <c r="G28" i="6" s="1"/>
  <c r="G27" i="6"/>
  <c r="F27" i="6"/>
  <c r="E27" i="6"/>
  <c r="D27" i="6"/>
  <c r="C27" i="6"/>
  <c r="B26" i="6"/>
  <c r="G26" i="6" s="1"/>
  <c r="B25" i="6"/>
  <c r="F25" i="6" s="1"/>
  <c r="B23" i="6"/>
  <c r="D17" i="6"/>
  <c r="B39" i="6" s="1"/>
  <c r="D16" i="6"/>
  <c r="F16" i="6" s="1"/>
  <c r="D15" i="6"/>
  <c r="B37" i="6" s="1"/>
  <c r="C14" i="6"/>
  <c r="D14" i="6" s="1"/>
  <c r="B10" i="6"/>
  <c r="B22" i="6" s="1"/>
  <c r="B8" i="6"/>
  <c r="B34" i="6" s="1"/>
  <c r="G22" i="6" l="1"/>
  <c r="F22" i="6"/>
  <c r="E22" i="6"/>
  <c r="D22" i="6"/>
  <c r="C22" i="6"/>
  <c r="G29" i="6"/>
  <c r="F14" i="6"/>
  <c r="E14" i="6"/>
  <c r="G23" i="6"/>
  <c r="G25" i="6"/>
  <c r="C26" i="6"/>
  <c r="D26" i="6"/>
  <c r="E26" i="6"/>
  <c r="C25" i="6"/>
  <c r="D25" i="6"/>
  <c r="E25" i="6"/>
  <c r="F26" i="6"/>
  <c r="C28" i="6"/>
  <c r="E17" i="6"/>
  <c r="F17" i="6"/>
  <c r="D28" i="6"/>
  <c r="E28" i="6"/>
  <c r="E16" i="6"/>
  <c r="F28" i="6"/>
  <c r="C29" i="6"/>
  <c r="D29" i="6"/>
  <c r="E29" i="6"/>
  <c r="C23" i="6"/>
  <c r="D23" i="6"/>
  <c r="E23" i="6"/>
  <c r="F23" i="6"/>
  <c r="B24" i="6"/>
  <c r="B33" i="6"/>
  <c r="B38" i="6"/>
  <c r="E24" i="6" l="1"/>
  <c r="D24" i="6"/>
  <c r="C24" i="6"/>
  <c r="G24" i="6"/>
  <c r="F24" i="6"/>
</calcChain>
</file>

<file path=xl/sharedStrings.xml><?xml version="1.0" encoding="utf-8"?>
<sst xmlns="http://schemas.openxmlformats.org/spreadsheetml/2006/main" count="325" uniqueCount="190">
  <si>
    <t>交付项</t>
  </si>
  <si>
    <t>制作要求／触发与结果</t>
  </si>
  <si>
    <t>中文游戏文本</t>
  </si>
  <si>
    <t>English draft</t>
  </si>
  <si>
    <t>状态</t>
  </si>
  <si>
    <t>关卡｜入口与完成</t>
  </si>
  <si>
    <t>起始开放婴儿碑；完成身份与死亡记述教学后进入主调查期。身份“婴儿”；碑面文化表达为“自然的死亡”；证据追问可获“另有隐情”。后续解锁条件仍需定稿。</t>
  </si>
  <si>
    <t>待确认</t>
  </si>
  <si>
    <t>美术｜碑体与场景</t>
  </si>
  <si>
    <t>昼城普通墓园；人形浅色石碑，厚度 1 cm（不代表 1 岁）。表面为月牙，不是落日。与晶石碑、金钱碑在同一连续基底；教学阶段可只开放本碑交互。月亮与地球的月亮区别化处理。</t>
  </si>
  <si>
    <t>已确定</t>
  </si>
  <si>
    <t>程序｜拓印与对应</t>
  </si>
  <si>
    <t>点击人形／月牙分别生成笔记本拓印。月牙拓印→拖至夜城背景月亮→记录“月牙→月亮”。人形拓印需一个现实人物形貌参照，不能只用文字代替；参照对象待美术确认。</t>
  </si>
  <si>
    <t>程序｜探照灯</t>
  </si>
  <si>
    <t>往当前时间倒回五十年，可以见到一张有婴儿真实形态的涂鸦。</t>
  </si>
  <si>
    <t>程序｜文献与记录</t>
  </si>
  <si>
    <t>手稿点击高亮“婴儿”解锁全局身份；自然死亡／另有隐情在回复中点击解锁。手稿包含幼儿形貌边注，是特殊问答证据，不直接给出杀害结论。</t>
  </si>
  <si>
    <t>文本｜查看介绍</t>
  </si>
  <si>
    <t>进入墓碑 overlay 的右侧文字。</t>
  </si>
  <si>
    <t>一座小小的人形碑，薄得像一片石页。上面刻着一个（待定形状）。</t>
  </si>
  <si>
    <t>A small, "human-shaped" marker, as thin as a page of stone. A shape is carved into its surface -- explore the environment around to find a match.</t>
  </si>
  <si>
    <t>文案初稿</t>
  </si>
  <si>
    <t>文本｜手稿正文</t>
  </si>
  <si>
    <t>手稿页；保留“婴儿”可点击高亮。</t>
  </si>
  <si>
    <t>“墓园通常用职业器物表现死者的身份。但这次埋葬的是一名婴儿，尚未获得职业身份，已有的碑形均不适用。家属希望，不要用一个尚未取得的职业定义孩子。最终采用人的形状：它没有职业，仍然是一个人。”</t>
  </si>
  <si>
    <t>Design proposal: a marker for someone without an occupation
Our cemetery usually represents a person through an icon of their occupation. This burial is different: the deceased is an infant who had not yet been assigned an occupation. None of the existing designs would do.
The family asked us not to define the child by work they had never begun. We chose a human figure instead. The child had no occupation, but was still a person.
“A child without an occupation is a person before anything else.”</t>
  </si>
  <si>
    <t>文本｜手稿边注</t>
  </si>
  <si>
    <t>附在手稿素描旁；作为无线电证据。</t>
  </si>
  <si>
    <t>设计沿用家属提出的样式。我偶然见过婴儿，他的相貌并不一致</t>
  </si>
  <si>
    <t xml:space="preserve">Actual appearance notes: dense fur; eyes that barely open. Decoration and depiction of appearance follows the family’s requested design. </t>
  </si>
  <si>
    <t>笔记本｜线索与结果</t>
  </si>
  <si>
    <t xml:space="preserve">
记录人形拓印、月牙拓印与手稿；可选身份 infant，死亡记述 natural／doubt。
对话建立关系：月亮=自然死，人形是昼民形象
对话提交证据：手稿边注相貌不一致，几年前的涂鸦均可触发→触发另有隐情隐藏对话；涂鸦是谁画的：触发Aurora潜台词。</t>
  </si>
  <si>
    <t>教程后开放。身份：学者；碑面记述：自然的死亡。真实死因、日期待定。</t>
  </si>
  <si>
    <t>晶石轮廓拓印→拖至夜城矿脉晶石；中央符号拓印→拖至夜城月亮。对应关系记入笔记本。</t>
  </si>
  <si>
    <t>墓碑 overlay 右侧；拍摄前不揭示皮肤画细节。</t>
  </si>
  <si>
    <t>半黑半白的晶石折出幽微的光。一个形状下方封着一片薄薄的东西，上面似乎有画。</t>
  </si>
  <si>
    <t>The black-and-white crystal catches a faint light. Beneath a carved shape, a thin fragment is sealed inside. Something seems to be drawn on it.</t>
  </si>
  <si>
    <t>A stone and a title
The record describes a Day City resident who first studied this transparent mineral and discovered the energy within it. They were granted the title of Scholar.
The stones were later used to power machinery. The occupational title thus became associated with crystal research.
This fragment names no relatives and does not say where the mineral was first found.</t>
  </si>
  <si>
    <t>教程后开放。身份：商人（大亨）；死亡记述：消失。具体消失原因、日期待定。</t>
  </si>
  <si>
    <t>昼城墓园，与小碑、晶石碑共用基底。放大流通金币形制，放射状币缘，厚 50 cm。中央双生兽左右形貌不同。草地放金币，多座背景碑也有双生兽符号。</t>
  </si>
  <si>
    <t>双生兽资料提供左右异形与一夜消失的记录。金币、兽形对应及共同基底记入笔记本，可提交无线电。</t>
  </si>
  <si>
    <t>币缘般的尖角围着一只小兽。它的左右两半长得截然不同。碑脚的石台向两侧延伸，与另外两座碑连在一起。</t>
  </si>
  <si>
    <t>Coin-like points surround a small creature whose two halves look entirely different. The stone base beneath it extends to join two other markers.</t>
  </si>
  <si>
    <t>双生兽资料。</t>
  </si>
  <si>
    <t>传说昼城建立以前，这里有一种双生生物：同一个身体的左右两半，长得完全不同。一边毛发浓密，眼缝狭长；另一边光滑，双眼清晰。它们却在一夜之间消失了。</t>
  </si>
  <si>
    <t>Legend tells of a twin-bodied creature that lived here before Day City was founded. Its two halves looked entirely different: one was covered in fur, with narrow eyes; the other was smooth, with clearly visible eyes. Then, in a single night, they disappeared.</t>
  </si>
  <si>
    <t>共同基底的现场记录。</t>
  </si>
  <si>
    <t>小碑、晶石碑和金钱碑，共用一块连续的石台。</t>
  </si>
  <si>
    <t>The small marker, the crystal monument, and the coin-shaped monument share one continuous stone base.</t>
  </si>
  <si>
    <t>待填：手稿边注或个人叙事；没有则写“无”。</t>
  </si>
  <si>
    <t>年表与人物年龄｜婴儿遇害为第 0 年</t>
  </si>
  <si>
    <t>黄格可填；蓝灰格自动算。仅使用最新九项版与本轮确认：2050 回溯 50 年；碑厚（cm）＝终点年龄（岁）。</t>
  </si>
  <si>
    <t>2000 是涂鸦年份；遇害年暂按同年排表，可单独改。按公元年差计算约龄，精确周岁还需生日。未知项不按 0 算。</t>
  </si>
  <si>
    <t>时间锚点</t>
  </si>
  <si>
    <t>公元年／年数</t>
  </si>
  <si>
    <t>确认情况</t>
  </si>
  <si>
    <t>调查当前公元年</t>
  </si>
  <si>
    <t>本轮确认</t>
  </si>
  <si>
    <t>探照灯回溯年数</t>
  </si>
  <si>
    <t>涂鸦出现公元年</t>
  </si>
  <si>
    <t>自动＝2050－50</t>
  </si>
  <si>
    <t>婴儿遇害公元年</t>
  </si>
  <si>
    <t>暂按涂鸦同年；可改，非已确认</t>
  </si>
  <si>
    <t>婴儿出生公元年</t>
  </si>
  <si>
    <t>自动＝遇害年－1 岁</t>
  </si>
  <si>
    <t>人物｜先填终点年份，即可反推出生年与第 0 年年龄；姐姐需同时填离开时年龄。</t>
  </si>
  <si>
    <t>人物</t>
  </si>
  <si>
    <t>终点年龄（岁）</t>
  </si>
  <si>
    <t>终点公元年</t>
  </si>
  <si>
    <t>出生公元年</t>
  </si>
  <si>
    <t>第 0 年年龄</t>
  </si>
  <si>
    <t>调查时状态／推算</t>
  </si>
  <si>
    <t>依据</t>
  </si>
  <si>
    <t>待填说明</t>
  </si>
  <si>
    <t>婴儿</t>
  </si>
  <si>
    <t>婴儿碑厚 1 cm</t>
  </si>
  <si>
    <t>终点＝遇害；年龄按你确认的碑厚规则。</t>
  </si>
  <si>
    <t>学者</t>
  </si>
  <si>
    <t>晶石碑厚 55 cm</t>
  </si>
  <si>
    <t>C15 填死亡公元年。</t>
  </si>
  <si>
    <t>大亨</t>
  </si>
  <si>
    <t>最新金钱碑厚 50 cm</t>
  </si>
  <si>
    <t>C16 填消失／死亡公元年。</t>
  </si>
  <si>
    <t>姐姐／Aurora</t>
  </si>
  <si>
    <t>尚无确定年龄</t>
  </si>
  <si>
    <t>B17 填离开时年龄，C17 填离开公元年；离开不等于死亡。</t>
  </si>
  <si>
    <t>终点年龄沿用碑厚，年份待填；姐姐与小女孩终局碑是否同一人尚未确认，暂不合并。死亡后的年龄不会继续增长。</t>
  </si>
  <si>
    <t>事件</t>
  </si>
  <si>
    <t>公元年</t>
  </si>
  <si>
    <t>距遇害（年）</t>
  </si>
  <si>
    <t>学者年龄</t>
  </si>
  <si>
    <t>大亨年龄</t>
  </si>
  <si>
    <t>姐姐年龄</t>
  </si>
  <si>
    <t>婴儿年龄</t>
  </si>
  <si>
    <t>依据／填写</t>
  </si>
  <si>
    <t>婴儿出生</t>
  </si>
  <si>
    <t>由 1 岁终点反推；只有年精度。</t>
  </si>
  <si>
    <t>婴儿被杀</t>
  </si>
  <si>
    <t>第 0 年；2000 为可改暂定锚点。</t>
  </si>
  <si>
    <t>婴儿真实形态涂鸦</t>
  </si>
  <si>
    <t>2050 回溯 50 年＝2000；不是“几年前”。</t>
  </si>
  <si>
    <t>大亨消失／死亡</t>
  </si>
  <si>
    <t>填 C16 自动更新。</t>
  </si>
  <si>
    <t>姐姐／Aurora 离开</t>
  </si>
  <si>
    <t>填 B17、C17；不自动判为死亡。</t>
  </si>
  <si>
    <t>皮肤画尚可辨认</t>
  </si>
  <si>
    <t>B27 待填：由探照灯回溯年份确定；相机在该时间读取。</t>
  </si>
  <si>
    <t>学者死亡</t>
  </si>
  <si>
    <t>填 C15 自动更新；终点年龄固定 55。</t>
  </si>
  <si>
    <t>玩家调查</t>
  </si>
  <si>
    <t>调查当前公元年 2050。</t>
  </si>
  <si>
    <t>核对｜明确矛盾与待定信息分开显示，不把缺资料当作“无冲突”。</t>
  </si>
  <si>
    <t>核对项</t>
  </si>
  <si>
    <t>结果</t>
  </si>
  <si>
    <t>处理／定位</t>
  </si>
  <si>
    <t>2050 回溯 50 年</t>
  </si>
  <si>
    <t>本轮确认的地球历，不参考旧稿。</t>
  </si>
  <si>
    <t>遇害与涂鸦是否同年</t>
  </si>
  <si>
    <t>涂鸦可在遇害前后绘制；具体先后需定稿，不能只凭出现婴儿就当作遇害现场。</t>
  </si>
  <si>
    <t>“几年前”的涂鸦</t>
  </si>
  <si>
    <t>婴儿页 B15 写“几年前的涂鸦”，B10 写回溯五十年。若指同一幅，应统一“50 年前／2000 年”；原页未擅改。</t>
  </si>
  <si>
    <t>人物年份是否齐全</t>
  </si>
  <si>
    <t>需填学者死亡年、大亨消失年、姐姐离开年龄与年份；终点年龄已有 1／55／50。</t>
  </si>
  <si>
    <t>父母是否已在世</t>
  </si>
  <si>
    <t>核对他们能否参与婴儿遇害；这里只检先后，不预设生育年龄。</t>
  </si>
  <si>
    <t>姐姐是否比婴儿年长</t>
  </si>
  <si>
    <t>D17 必须早于婴儿出生年 D14；精确出生日期仍待定。</t>
  </si>
  <si>
    <t>2050 时姐姐多大</t>
  </si>
  <si>
    <t>若 2050 的无线电联系人就是 Aurora，形象和声音需与这个年龄一致；不假定她一直年轻。</t>
  </si>
  <si>
    <t>皮肤画回溯日期</t>
  </si>
  <si>
    <t>最新学者页要求回溯至皮肤仍可辨认时。B27 填公元年后，回溯年数＝2050－该年。</t>
  </si>
  <si>
    <t>厚度与年龄</t>
  </si>
  <si>
    <t>已按 1／55／50 岁</t>
  </si>
  <si>
    <t>采用你本轮确认的 1 cm＝1 岁；大亨用最新 50 cm，不取旧数值。</t>
  </si>
  <si>
    <t>小女孩终局碑</t>
  </si>
  <si>
    <t>身份与年龄待确认</t>
  </si>
  <si>
    <t>没有年龄和终点年，暂不并入姐姐／Aurora，也不把立碑等同于当年死亡。</t>
  </si>
  <si>
    <t>依据：最新九项版（婴儿 B10／B15；学者 B8／B10；大亨 B8），以及本轮“2050 回溯 50 年”“碑厚就是年龄”的确认。</t>
  </si>
  <si>
    <t>已死（55岁）</t>
  </si>
  <si>
    <t>回溯至皮肤尚能辨识的时间，看见昼民夜民手拉手的皮肤用渗血的方式记录（异质处理，用蓝色血）</t>
  </si>
  <si>
    <t>记录金币／双生兽拓印、形貌资料与共同基底；身份 tycoon，死亡记述 disappeared。
对话建立关系：金币=大亨，双生兽=消失。
对话提交证据：共同基底→同一家人；四人合影，三人墓碑→Aurora对于缺少家庭成员的潜台词。</t>
  </si>
  <si>
    <t>曾有一张四人合影被放在墓前。</t>
  </si>
  <si>
    <t>币形拓印→拖至场景金币（许愿池内有金币；许愿池上方是轴承信仰的图标，为羊灵，可以参考AIC的羊头画，羊灵会在其他的墓碑用到）；兽形拓印→拖至双生兽的现实形貌参照（在昼城的遗迹看到一个巨大的足印，使用探照灯，使双生兽显形）。三碑共用基底整体记录。</t>
  </si>
  <si>
    <t>最后一座墓碑改为小女孩碑。小女孩雕刻自己在竖着的睡棺中的形象，来表现自己的墓碑设计师身份。</t>
  </si>
  <si>
    <t>回溯年份：有母亲放在墓前的Aurora雕刻的一家四口小雕像。</t>
  </si>
  <si>
    <t>昼城历史，该书在被发现前一直属于禁书：昼民和夜民均需要准时在睡棺中休息才能在第二天复苏。在昼民与夜民尚未分裂之前，他们统称日月之民，只是一部分拥有日光，一部分拥有月夜。在统一居住区，为了保证空间，睡棺均为竖直摆放；后因夜民搬入地下，人数减少，面积不再成为问题，昼民形成了躺进睡棺的新习惯，而夜民将睡棺置于地下，在洞穴的低可见度下几乎与地面没有分别。</t>
  </si>
  <si>
    <t>另一座人形碑，外层以某种结构环绕，似乎比另一座人形碑中的人物年龄更大。</t>
  </si>
  <si>
    <t>无</t>
  </si>
  <si>
    <t>“如果死亡本身的真相被粉饰，我为这种粉饰作碑岂不是成了帮凶？我已经无法忍受这个虚伪的世界，但凡有一个人仔细想想我们身处世界的不合理，我们都不至于沦落到今日地步……曾经我多么爱重我的母亲，从小我就以她为榜样，可她先是不保护弟弟，又将父亲的消失归咎于外，即便我尝试告诉她世界的真相，她只认为无用的同情会让昼民灭亡……我们到底要用保护的名义多少次戕害自己的同胞？她给我写了信，说废墟有一处旧址，有可供我们两人活下来的睡棺……她想带她的母亲，可带上她的母亲就要带我的母亲，以她在昼城的影响力，这件事会人尽皆知，我们又会重蹈覆辙。我得说服她，我们只能自己逃出去。”</t>
  </si>
  <si>
    <t>一页日记，未知主人。原件完整如新。高亮：我为这种粉饰作碑；她的母亲就要带我的母亲；逃出去；虚伪。
既然是结局，我想把日记本写多一点，日记本的封面也有睡棺女孩的图案。</t>
  </si>
  <si>
    <t>待填：拓印哪个符号→拖至哪个现实目标→得到什么对应。
最终关的拓印做UI调整，可以将笔记本上的符号和拓印出的墓碑符号比对。得到Aurora和小女孩的对应。
睡棺和历史书中的睡棺图案对应</t>
  </si>
  <si>
    <t>线索名为昼城历史。高亮“禁书”，“睡棺”，“日月之民”，“人数减少”。书中的睡棺图案可拓印比对。</t>
  </si>
  <si>
    <t xml:space="preserve"> </t>
  </si>
  <si>
    <t>入口在夜城。夜城墓碑的符号与昼城规则不同。夜城的生死观与昼城不同，昼城认为死亡是定格，因此墓碑记录的是人生前的全部信息；夜城的墓碑将死亡视作一个节点，以外框花纹总结死亡节点的意义；上半部分代表死者的过去和物质存在，下半部分代表死者的未来。
夜城破译的主要依据：建立夜城和昼城墓碑的对应；利用昼城已知的信息推知夜城墓碑符号的含义。</t>
  </si>
  <si>
    <t>夜城墓园中最显眼的碑，在众多灰色石块中被涂成白色，有房子的形制，类似于祭坛。石柱上雕刻的纹路是一条没有尽头的路径，代表消失；在石台上的雕像是婴孩，与昼城的小碑姿态略有不同，但很显然是同一个个体，可通过拓印比对；石台的装饰为夜城信仰的晶石神，曾经由晶石组成，在昼城的盗窃下变成了一片空缺。</t>
  </si>
  <si>
    <t>晶石神的传说</t>
  </si>
  <si>
    <t>一座形制宏大的墓葬建筑，在逼仄的地下世界里，吸引每个访客的第一次注视。</t>
  </si>
  <si>
    <t>程序｜传说</t>
  </si>
  <si>
    <t>调查笔记：关于“消失”的中段调查记录</t>
  </si>
  <si>
    <t>“昼城的无故消失者通报时间均为清晨醒来时。昼民体制特殊，一旦未准时进入睡棺，就会死亡（详见守夜人之死），但只要进入睡棺，就会在整个夜晚失去意识和行为能力，获得睡棺全面的保护。是谁在他们的睡棺上做了手脚？我无法调查夜晚行动的夜民动向，只能怀疑夜城在抢走粮食的同时，对我的丈夫、我的同胞做了什么。不仅是消失，包括我在内的许多人都在醒来时见到新伤。以夜民劫掠的本性，他们很大概率就是始作俑者。我必须保持警惕。”</t>
  </si>
  <si>
    <t>任务通知</t>
  </si>
  <si>
    <t>祭台人形与昼城人形小碑对应。
拓印祭台上写着的一个符号，交给Aurora翻译：消失是踏上永无尽头的旅路。愿晶石的力量常伴左右。（这句话用一个看不懂的符号即可，不需要玩家解谜。夜城没有完整的文字系统，符号是单个符号的释义）</t>
  </si>
  <si>
    <t>1. 探照灯可找到被扣掉的晶石神像
2. 祭台上的祭品可找到夜城的月形石片</t>
  </si>
  <si>
    <t>一则晶石神的传说：当一个皮肤细腻如晶石的婴儿降临夜城，夜民将重新看见光明。</t>
  </si>
  <si>
    <t>记录晶石／月亮拓印、夜城矿石来源、职业记录、清晰皮肤画；身份 scholar，死亡记述 natural。
对话建立关系：晶石研究=学者，月亮=自然死。
对话提交证据：夜城矿石来源＋晶石对应→两城曾有资源往来；皮肤画→Aurora 潜台词的条件与台词待填。</t>
  </si>
  <si>
    <t>必须从根本上杜绝夜民入侵。曾经允许他们来取我们的粮食，是基于他们挖掘出的晶石资源与我们互换；但现在他们懒于工作，却仍在向昼城无止境地索取。必须建立单向通道，只允许昼民向下，不允许夜民向上。</t>
  </si>
  <si>
    <t xml:space="preserve">
拓印祭台人形与昼城人形小碑，月亮和夜城钱币；拓印祭台的一句话，交给Aurora翻译。可选身份 infant，死因消失。
对话建立关系：昼城小碑与夜城祭台对应，长路边纹=消失，晶石神信仰，月形石片并非钱币，在夜民眼中，月形石片是一种祝福。他们没有以物易物的概念，甚至没有领地概念，因此留下的月形石片仅仅代表祝福。（去昼城找吃的也仅仅是去找到了吃的就吃了）
对话提交证据：被扣掉的晶石神像→昼民干的；符号翻译/晶石传说→为什么没有文字的文明的符号可以被翻译/传说可以被留下来→Aurora潜台词。昼城婴儿碑手稿→如果昼城婴儿相貌如附注所示，是否意味着昼城婴儿本应生在夜城，vice versa?→关于昼夜一体的猜测。昼民消失报告→消失和死亡的对应关系。另有隐情的婴儿死因→
提交夜城婴儿报告后触发一段bonus 无线电，属于强制过剧情给点世界观线索（类似极乐迪斯科问灰域的概念）：
Aurora：关于目前的调查进度，你最想知道的问题是什么（只能回答两个问题）
1. 昼民和夜民的本质是什么？→与其说昼民和夜民像互不相见的日月，更像一双连体双胞胎。他们意识独立，行为独立，但共享一个生命体，所以无法割舍彼此存在。只可惜，昼民认为自己是脱离月亮也能运转的太阳。
2. 为什么你会知道这么多？→Aurora是一个名字，可你不会知道和你对话的是一个人、一群人，还是……不要低估不同视角带来的知识总和。
3. 消失意味着什么？→举一个生活例子（笑），你为了玩朋友的账号，总是两个人轮流登录。有一天号被封了，你们两都登不上了，但封号的邮件只会发给你的朋友，仍留有存档。从你的视角来看，你的游戏账号就是了无痕迹地消失了。
4. 你如何看待昼城和夜城的历史？→如果我告诉你昼民和夜民曾有一片混葬的墓园？这次你不会探索那里，但石头比语言先说话：关于共存，关于隔离，关于我们如何成为同胞，又互相敌对。
</t>
  </si>
  <si>
    <t>“记录提到：最早研究这种透明矿物、发现其中能量的昼民，获得了学者的身份。这些石头随后被用于供能设备。职业称谓由此与晶石研究联系在一起。这项研究被一位富家子弟率先投资，对方后来成为她的丈夫，被称为大亨。
鉴于学者为昼城文明做出的突出贡献，可以申请超出普通墓碑形制的mausoleum，将自己的家庭迁入其中。这对看重死亡仪式的昼民来说是至高的荣誉。“</t>
  </si>
  <si>
    <t>职业记录；高亮“学者”，“大亨”。</t>
  </si>
  <si>
    <t>夜城墓园，一处不起眼的石碑，不会超过婴儿碑的注意力</t>
  </si>
  <si>
    <t>教程后开放。身份：学者；碑面记述：消失。真实死因、日期待定。</t>
  </si>
  <si>
    <t>拉手图案与学者墓对应；干枯的河床与地下河对应；孩子和祭台对应</t>
  </si>
  <si>
    <t>没有信息。再也没有人来过</t>
  </si>
  <si>
    <t>一块不起眼的石碑，布满几何图样。在祭坛边看起来有些寒酸。</t>
  </si>
  <si>
    <t xml:space="preserve">对应拉手纹样→为什么昼城和夜城会有相同的涂鸦
干枯河床→饥渴而死
问题：二人都没有探照灯的遗迹信息→她们是不是文明的最后一人
出示证据：皮肤画→看起来这幅画的存在方式是皮肤上的涂鸦
皮肤有伤的消失调查报告（见学者）→伤痕是不是可以在昼夜之间传递→她们传递的信息是什么
</t>
  </si>
  <si>
    <t>封面符号与 Aurora Twins 墓碑图案首尾呼应。碑体、材质、场景位置，昼城Aurora使用类似大理石材质，装饰为双头神兽，睡棺边缘同样有夜城无尽头路的意象。表现为消失，但其实是Aurora的主动离开。厚度难以测量：碑身被嵌进一块石头里。</t>
  </si>
  <si>
    <t>孩子和祭台孩子对应，天梯和场景中的天梯对应，石神和祭台对应</t>
  </si>
  <si>
    <t>月亮形的石片</t>
  </si>
  <si>
    <t>一处不起眼的石碑，边框是身影登上天梯，上半部分是父亲背着孩子，下半部分是石神信仰。</t>
  </si>
  <si>
    <t>一处不起眼的石碑，边框是干枯的河床，上半部分是抱着孩子（参考各种圣母像？），下半部分是昼民夜民拉手的图案，与学者的图案对应。夜父夜母的碑分立于祭坛两侧</t>
  </si>
  <si>
    <t>程序｜史料</t>
  </si>
  <si>
    <t>……最初昼夜尚未分化，日月之民生活在一起。分离上下两城后，一场自然塌方使通往地面的道路封死。</t>
  </si>
  <si>
    <t>出自昼城史料禁书，高亮自然塌方</t>
  </si>
  <si>
    <t>关于天梯</t>
  </si>
  <si>
    <t>天梯只是一堆乱石中清出来的向上路径，只是不平坦，但并不陡峭。寻找食物水源的夜民向各个方向挖掘攀登，最终从塌方的废墟中挖出向上道路。他们到达昼城的日子被昼城称作“黑暗降临的日子”，粮食和牲畜都被夺走许多，昼民甚至不知道谁做了这件事，直到他们发现通向夜城的天梯。但也因打通天梯为契机，昼民在夜城发现他们为寻找食物水源挖出的一种亮晶晶的石头——晶石，后来昼城发展的能源。这样的往来发生在每一个昼夜：昼民带回晶石，夜民带回粮食，各取所需。这样的平衡持续了很久。</t>
  </si>
  <si>
    <t xml:space="preserve">分立两旁关于婴儿的石碑→他们和婴儿的关系是什么？
证据：天梯→天梯并不陡峭，为什么父亲会死→寻找消失的婴儿，超出昼夜限制
出示学者的消失调查：学者的丈夫消失于清晨，是否与夜父的死亡直接相关→建立学者丈夫和夜父的联系
</t>
  </si>
  <si>
    <t>昼城墓园，与小碑、金钱碑共用基底。半黑半白透明多面晶石，厚 55 cm。内部封存一块绘有昼民、夜民拉手的皮肤，皮肤随时间已腐化。双头兽装饰。</t>
  </si>
  <si>
    <t>晶石轮廓拓印→拖至夜城矿脉晶石；双头兽装饰。对应关系记入笔记本。</t>
  </si>
  <si>
    <t>记录晶石／月亮拓印、夜城矿石来源、职业记录、清晰皮肤画；身份 scholar，死亡记述 消失。
对话建立关系：晶石研究=学者，双头兽=消失
对话提交证据：夜城矿石来源＋晶石对应→两城曾经合作；皮肤画→Aurora 潜台词的条件与台词待填</t>
  </si>
  <si>
    <t>四人雕像比对比大亨墓前的四人合影；比对消失;人形同样可以和婴儿那张稿纸的婴儿是人类的本质比对，形成干扰项the obscure；比对睡棺和墓碑的睡棺，对话中得知对昼民来说死亡是很重要的仪式，也有专门的墓碑艺术家；记录人形、笔记本封面、日记本封面，得出结论Aurora与书写者、碑主为一人/相关；可选身份人的the obscure/墓碑艺术家/Aurora,死亡记述消失/逃离。
对话建立关系：日记主人和墓碑的关系；第四人逃离的原因；隐藏对话：调查笔记本相同的图案→Aurora逃走的原因和令你参与调查的deeptalk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</si>
</sst>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sz val="11"/>
      <color rgb="FF2E3F36"/>
      <name val="Arial"/>
    </font>
    <font>
      <b/>
      <sz val="16"/>
      <color rgb="FF344F42"/>
      <name val="Arial"/>
    </font>
    <font>
      <sz val="10"/>
      <color rgb="FF67756B"/>
      <name val="Arial"/>
    </font>
    <font>
      <b/>
      <sz val="11"/>
      <color rgb="FFFFFFFF"/>
      <name val="Arial"/>
    </font>
    <font>
      <sz val="10"/>
      <color rgb="FF66756B"/>
      <name val="Arial"/>
    </font>
    <font>
      <b/>
      <sz val="11"/>
      <color rgb="FF344F42"/>
      <name val="Arial"/>
    </font>
  </fonts>
  <fills count="14">
    <fill>
      <patternFill patternType="none"/>
    </fill>
    <fill>
      <patternFill patternType="gray125"/>
    </fill>
    <fill>
      <patternFill patternType="solid">
        <fgColor rgb="FFFFFFFF"/>
      </patternFill>
    </fill>
    <fill>
      <patternFill patternType="solid">
        <fgColor rgb="FFF2F4EF"/>
      </patternFill>
    </fill>
    <fill>
      <patternFill patternType="solid">
        <fgColor rgb="FFFFF8E8"/>
      </patternFill>
    </fill>
    <fill>
      <patternFill patternType="solid">
        <fgColor rgb="FFEDF3F8"/>
      </patternFill>
    </fill>
    <fill>
      <patternFill patternType="solid">
        <fgColor rgb="FF344F42"/>
      </patternFill>
    </fill>
    <fill>
      <patternFill patternType="solid">
        <fgColor rgb="FFFFFFFF"/>
      </patternFill>
    </fill>
    <fill>
      <patternFill patternType="solid">
        <fgColor rgb="FFF2F4EF"/>
      </patternFill>
    </fill>
    <fill>
      <patternFill patternType="solid">
        <fgColor rgb="FFFFF8E8"/>
      </patternFill>
    </fill>
    <fill>
      <patternFill patternType="solid">
        <fgColor rgb="FFEDF3F8"/>
      </patternFill>
    </fill>
    <fill>
      <patternFill patternType="solid">
        <fgColor rgb="FF344F42"/>
      </patternFill>
    </fill>
    <fill>
      <patternFill patternType="solid">
        <fgColor rgb="FFFFF0CF"/>
      </patternFill>
    </fill>
    <fill>
      <patternFill patternType="solid">
        <fgColor rgb="FFEDF3F8"/>
      </patternFill>
    </fill>
  </fills>
  <borders count="2">
    <border>
      <left/>
      <right/>
      <top/>
      <bottom/>
      <diagonal/>
    </border>
    <border>
      <left/>
      <right/>
      <top style="medium">
        <color rgb="FFA6B39F"/>
      </top>
      <bottom/>
      <diagonal/>
    </border>
  </borders>
  <cellStyleXfs count="1">
    <xf numFmtId="0" fontId="0" fillId="0" borderId="0"/>
  </cellStyleXfs>
  <cellXfs count="25">
    <xf numFmtId="0" fontId="0" fillId="0" borderId="0" xfId="0"/>
    <xf numFmtId="0" fontId="1" fillId="0" borderId="0" xfId="0" applyFont="1" applyAlignment="1">
      <alignment vertical="top" wrapText="1"/>
    </xf>
    <xf numFmtId="0" fontId="1" fillId="2" borderId="0" xfId="0" applyFont="1" applyFill="1" applyAlignment="1">
      <alignment vertical="top" wrapText="1"/>
    </xf>
    <xf numFmtId="0" fontId="1" fillId="3" borderId="0" xfId="0" applyFont="1" applyFill="1" applyAlignment="1">
      <alignment vertical="top" wrapText="1"/>
    </xf>
    <xf numFmtId="0" fontId="1" fillId="4" borderId="0" xfId="0" applyFont="1" applyFill="1" applyAlignment="1">
      <alignment vertical="top" wrapText="1"/>
    </xf>
    <xf numFmtId="0" fontId="1" fillId="5" borderId="0" xfId="0" applyFont="1" applyFill="1" applyAlignment="1">
      <alignment vertical="top" wrapText="1"/>
    </xf>
    <xf numFmtId="0" fontId="4" fillId="6" borderId="0" xfId="0" applyFont="1" applyFill="1" applyAlignment="1">
      <alignment horizontal="center" vertical="center" wrapText="1"/>
    </xf>
    <xf numFmtId="0" fontId="1" fillId="2" borderId="1" xfId="0" applyFont="1" applyFill="1" applyBorder="1" applyAlignment="1">
      <alignment vertical="top" wrapText="1"/>
    </xf>
    <xf numFmtId="0" fontId="1" fillId="3" borderId="1" xfId="0" applyFont="1" applyFill="1" applyBorder="1" applyAlignment="1">
      <alignment vertical="top" wrapText="1"/>
    </xf>
    <xf numFmtId="0" fontId="1" fillId="4" borderId="1" xfId="0" applyFont="1" applyFill="1" applyBorder="1" applyAlignment="1">
      <alignment vertical="top" wrapText="1"/>
    </xf>
    <xf numFmtId="0" fontId="1" fillId="5" borderId="1" xfId="0" applyFont="1" applyFill="1" applyBorder="1" applyAlignment="1">
      <alignment vertical="top" wrapText="1"/>
    </xf>
    <xf numFmtId="0" fontId="1" fillId="7" borderId="0" xfId="0" applyFont="1" applyFill="1" applyAlignment="1">
      <alignment vertical="top" wrapText="1"/>
    </xf>
    <xf numFmtId="0" fontId="1" fillId="8" borderId="0" xfId="0" applyFont="1" applyFill="1" applyAlignment="1">
      <alignment vertical="top" wrapText="1"/>
    </xf>
    <xf numFmtId="0" fontId="1" fillId="9" borderId="0" xfId="0" applyFont="1" applyFill="1" applyAlignment="1">
      <alignment vertical="top" wrapText="1"/>
    </xf>
    <xf numFmtId="0" fontId="1" fillId="10" borderId="0" xfId="0" applyFont="1" applyFill="1" applyAlignment="1">
      <alignment vertical="top" wrapText="1"/>
    </xf>
    <xf numFmtId="0" fontId="4" fillId="11" borderId="0" xfId="0" applyFont="1" applyFill="1" applyAlignment="1">
      <alignment horizontal="center" vertical="center" wrapText="1"/>
    </xf>
    <xf numFmtId="0" fontId="1" fillId="13" borderId="0" xfId="0" applyFont="1" applyFill="1" applyAlignment="1">
      <alignment vertical="top" wrapText="1"/>
    </xf>
    <xf numFmtId="1" fontId="1" fillId="12" borderId="0" xfId="0" applyNumberFormat="1" applyFont="1" applyFill="1" applyAlignment="1">
      <alignment vertical="top" wrapText="1"/>
    </xf>
    <xf numFmtId="1" fontId="1" fillId="13" borderId="0" xfId="0" applyNumberFormat="1" applyFont="1" applyFill="1" applyAlignment="1">
      <alignment vertical="top" wrapText="1"/>
    </xf>
    <xf numFmtId="0" fontId="1" fillId="8" borderId="1" xfId="0" applyFont="1" applyFill="1" applyBorder="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1"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cellXfs>
  <cellStyles count="1">
    <cellStyle name="Normal" xfId="0" builtinId="0"/>
  </cellStyles>
  <dxfs count="23">
    <dxf>
      <font>
        <color rgb="FF815D25"/>
      </font>
      <fill>
        <patternFill patternType="solid">
          <bgColor rgb="FFFFF0CF"/>
        </patternFill>
      </fill>
    </dxf>
    <dxf>
      <font>
        <b/>
        <color rgb="FF8C4D3B"/>
      </font>
      <fill>
        <patternFill patternType="solid">
          <bgColor rgb="FFF8E1D8"/>
        </patternFill>
      </fill>
    </dxf>
    <dxf>
      <font>
        <color rgb="FF53677B"/>
      </font>
      <fill>
        <patternFill>
          <bgColor rgb="FFEEF2F6"/>
        </patternFill>
      </fill>
    </dxf>
    <dxf>
      <font>
        <b/>
        <color rgb="FF815D25"/>
      </font>
      <fill>
        <patternFill>
          <bgColor rgb="FFFFF0CF"/>
        </patternFill>
      </fill>
    </dxf>
    <dxf>
      <font>
        <color rgb="FF53677B"/>
      </font>
      <fill>
        <patternFill>
          <bgColor rgb="FFEEF2F6"/>
        </patternFill>
      </fill>
    </dxf>
    <dxf>
      <font>
        <b/>
        <color rgb="FF815D25"/>
      </font>
      <fill>
        <patternFill>
          <bgColor rgb="FFFFF0CF"/>
        </patternFill>
      </fill>
    </dxf>
    <dxf>
      <font>
        <color rgb="FF815D25"/>
      </font>
      <fill>
        <patternFill>
          <bgColor rgb="FFFFF0CF"/>
        </patternFill>
      </fill>
    </dxf>
    <dxf>
      <font>
        <color rgb="FF53677B"/>
      </font>
      <fill>
        <patternFill>
          <bgColor rgb="FFEEF2F6"/>
        </patternFill>
      </fill>
    </dxf>
    <dxf>
      <font>
        <b/>
        <color rgb="FF815D25"/>
      </font>
      <fill>
        <patternFill>
          <bgColor rgb="FFFFF0CF"/>
        </patternFill>
      </fill>
    </dxf>
    <dxf>
      <font>
        <color rgb="FF815D25"/>
      </font>
      <fill>
        <patternFill>
          <bgColor rgb="FFFFF0CF"/>
        </patternFill>
      </fill>
    </dxf>
    <dxf>
      <font>
        <color rgb="FF53677B"/>
      </font>
      <fill>
        <patternFill>
          <bgColor rgb="FFEEF2F6"/>
        </patternFill>
      </fill>
    </dxf>
    <dxf>
      <font>
        <b/>
        <color rgb="FF815D25"/>
      </font>
      <fill>
        <patternFill>
          <bgColor rgb="FFFFF0CF"/>
        </patternFill>
      </fill>
    </dxf>
    <dxf>
      <font>
        <color rgb="FF53677B"/>
      </font>
      <fill>
        <patternFill>
          <bgColor rgb="FFEEF2F6"/>
        </patternFill>
      </fill>
    </dxf>
    <dxf>
      <font>
        <b/>
        <color rgb="FF815D25"/>
      </font>
      <fill>
        <patternFill>
          <bgColor rgb="FFFFF0CF"/>
        </patternFill>
      </fill>
    </dxf>
    <dxf>
      <font>
        <color rgb="FF815D25"/>
      </font>
      <fill>
        <patternFill>
          <bgColor rgb="FFFFF0CF"/>
        </patternFill>
      </fill>
    </dxf>
    <dxf>
      <font>
        <color rgb="FF53677B"/>
      </font>
      <fill>
        <patternFill>
          <bgColor rgb="FFEEF2F6"/>
        </patternFill>
      </fill>
    </dxf>
    <dxf>
      <font>
        <b/>
        <color rgb="FF815D25"/>
      </font>
      <fill>
        <patternFill>
          <bgColor rgb="FFFFF0CF"/>
        </patternFill>
      </fill>
    </dxf>
    <dxf>
      <font>
        <color rgb="FF815D25"/>
      </font>
      <fill>
        <patternFill>
          <bgColor rgb="FFFFF0CF"/>
        </patternFill>
      </fill>
    </dxf>
    <dxf>
      <font>
        <color rgb="FF53677B"/>
      </font>
      <fill>
        <patternFill>
          <bgColor rgb="FFEEF2F6"/>
        </patternFill>
      </fill>
    </dxf>
    <dxf>
      <font>
        <b/>
        <color rgb="FF815D25"/>
      </font>
      <fill>
        <patternFill>
          <bgColor rgb="FFFFF0CF"/>
        </patternFill>
      </fill>
    </dxf>
    <dxf>
      <font>
        <color rgb="FF815D25"/>
      </font>
      <fill>
        <patternFill>
          <bgColor rgb="FFFFF0CF"/>
        </patternFill>
      </fill>
    </dxf>
    <dxf>
      <font>
        <color rgb="FF53677B"/>
      </font>
      <fill>
        <patternFill>
          <bgColor rgb="FFEEF2F6"/>
        </patternFill>
      </fill>
    </dxf>
    <dxf>
      <font>
        <b/>
        <color rgb="FF815D25"/>
      </font>
      <fill>
        <patternFill>
          <bgColor rgb="FFFFF0C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224788</xdr:colOff>
      <xdr:row>7</xdr:row>
      <xdr:rowOff>662940</xdr:rowOff>
    </xdr:from>
    <xdr:to>
      <xdr:col>2</xdr:col>
      <xdr:colOff>1699258</xdr:colOff>
      <xdr:row>9</xdr:row>
      <xdr:rowOff>480060</xdr:rowOff>
    </xdr:to>
    <xdr:pic>
      <xdr:nvPicPr>
        <xdr:cNvPr id="2" name="Picture 1" descr="Ram's Head, White Hollyhock-Hills (Ram's Head and White Hollyhock, New  Mexico) · Brooklyn Museum">
          <a:extLst>
            <a:ext uri="{FF2B5EF4-FFF2-40B4-BE49-F238E27FC236}">
              <a16:creationId xmlns:a16="http://schemas.microsoft.com/office/drawing/2014/main" id="{D2926969-1EDE-B535-5D68-7B33DF4A04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06588" y="3086100"/>
          <a:ext cx="1474470" cy="19659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Execution_B01" displayName="Execution_B01" ref="A6:E15" totalsRowShown="0">
  <tableColumns count="5">
    <tableColumn id="2" xr3:uid="{00000000-0010-0000-0000-000002000000}" name="交付项"/>
    <tableColumn id="3" xr3:uid="{00000000-0010-0000-0000-000003000000}" name="制作要求／触发与结果"/>
    <tableColumn id="4" xr3:uid="{00000000-0010-0000-0000-000004000000}" name="中文游戏文本"/>
    <tableColumn id="5" xr3:uid="{00000000-0010-0000-0000-000005000000}" name="English draft"/>
    <tableColumn id="6" xr3:uid="{00000000-0010-0000-0000-000006000000}" name="状态"/>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Simple_02" displayName="Simple_02" ref="A6:E15" totalsRowShown="0">
  <tableColumns count="5">
    <tableColumn id="1" xr3:uid="{00000000-0010-0000-0100-000001000000}" name="交付项"/>
    <tableColumn id="2" xr3:uid="{00000000-0010-0000-0100-000002000000}" name="制作要求／触发与结果"/>
    <tableColumn id="3" xr3:uid="{00000000-0010-0000-0100-000003000000}" name="中文游戏文本"/>
    <tableColumn id="4" xr3:uid="{00000000-0010-0000-0100-000004000000}" name="English draft"/>
    <tableColumn id="5" xr3:uid="{00000000-0010-0000-0100-000005000000}" name="状态"/>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2000000}" name="Simple_03" displayName="Simple_03" ref="A6:E15" totalsRowShown="0">
  <tableColumns count="5">
    <tableColumn id="1" xr3:uid="{00000000-0010-0000-0200-000001000000}" name="交付项"/>
    <tableColumn id="2" xr3:uid="{00000000-0010-0000-0200-000002000000}" name="制作要求／触发与结果"/>
    <tableColumn id="3" xr3:uid="{00000000-0010-0000-0200-000003000000}" name="中文游戏文本"/>
    <tableColumn id="4" xr3:uid="{00000000-0010-0000-0200-000004000000}" name="English draft"/>
    <tableColumn id="5" xr3:uid="{00000000-0010-0000-0200-000005000000}" name="状态"/>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3000000}" name="Simple_04" displayName="Simple_04" ref="A6:E15" totalsRowShown="0">
  <tableColumns count="5">
    <tableColumn id="1" xr3:uid="{00000000-0010-0000-0300-000001000000}" name="交付项"/>
    <tableColumn id="2" xr3:uid="{00000000-0010-0000-0300-000002000000}" name="制作要求／触发与结果"/>
    <tableColumn id="3" xr3:uid="{00000000-0010-0000-0300-000003000000}" name="中文游戏文本"/>
    <tableColumn id="4" xr3:uid="{00000000-0010-0000-0300-000004000000}" name="English draft"/>
    <tableColumn id="5" xr3:uid="{00000000-0010-0000-0300-000005000000}" name="状态"/>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716D38-7FA4-49AA-A161-A9DC6FD12512}" name="Execution_B012" displayName="Execution_B012" ref="A6:E13" totalsRowShown="0">
  <tableColumns count="5">
    <tableColumn id="2" xr3:uid="{2FD5B4B5-CA9D-4284-8BF9-2CD145B13BBC}" name="交付项"/>
    <tableColumn id="3" xr3:uid="{76E67450-208D-4B0D-9958-837B58E65D29}" name="制作要求／触发与结果"/>
    <tableColumn id="4" xr3:uid="{20BCE027-6372-4215-AAF2-61E5B946BEB5}" name="中文游戏文本"/>
    <tableColumn id="5" xr3:uid="{1B072F17-93F6-4222-AA08-771E89C0DC07}" name="English draft"/>
    <tableColumn id="6" xr3:uid="{ABB67D7F-C4B9-4FE3-B6D6-05A8042073E9}" name="状态"/>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7C15B62-C10A-4CDA-A59A-49321EC882EA}" name="Simple_024" displayName="Simple_024" ref="A6:D12" totalsRowShown="0">
  <tableColumns count="4">
    <tableColumn id="1" xr3:uid="{659E56F7-7451-49A2-BAF6-A35DB13AD8CC}" name="交付项"/>
    <tableColumn id="3" xr3:uid="{BF0BF3E6-D512-4E54-9CCA-A16BA92EC7F9}" name="中文游戏文本"/>
    <tableColumn id="4" xr3:uid="{C114E640-02FF-457E-BD1C-B3E84C364E18}" name="English draft"/>
    <tableColumn id="5" xr3:uid="{2ADAA37E-431E-4664-B37A-A05D20B3A36F}" name="状态"/>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12DB7ED-80ED-4A13-A7DE-42A327F3F45C}" name="Simple_02410" displayName="Simple_02410" ref="A6:D14" totalsRowShown="0">
  <tableColumns count="4">
    <tableColumn id="1" xr3:uid="{C48D9300-A72F-4D74-B2A0-6483F3AF445A}" name="交付项"/>
    <tableColumn id="3" xr3:uid="{B2634464-3EB7-433F-89CA-2163717FDD5C}" name="中文游戏文本"/>
    <tableColumn id="4" xr3:uid="{C921B6EC-80F8-4E20-9402-2C4A99971C68}" name="English draft"/>
    <tableColumn id="5" xr3:uid="{C918DBFD-3216-46A2-B09D-06D08B1B040E}" name="状态"/>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6E8068"/>
  </sheetPr>
  <dimension ref="A1:E15"/>
  <sheetViews>
    <sheetView showGridLines="0" workbookViewId="0">
      <pane xSplit="1" ySplit="6" topLeftCell="B13" activePane="bottomRight" state="frozen"/>
      <selection pane="topRight"/>
      <selection pane="bottomLeft"/>
      <selection pane="bottomRight" activeCell="C15" sqref="C15"/>
    </sheetView>
  </sheetViews>
  <sheetFormatPr defaultRowHeight="13.8"/>
  <cols>
    <col min="1" max="1" width="24" customWidth="1"/>
    <col min="2" max="2" width="65" customWidth="1"/>
    <col min="3" max="3" width="56" customWidth="1"/>
    <col min="4" max="4" width="69" customWidth="1"/>
    <col min="5" max="5" width="14" customWidth="1"/>
  </cols>
  <sheetData>
    <row r="1" spans="1:5">
      <c r="A1" s="1"/>
      <c r="B1" s="1"/>
      <c r="C1" s="1"/>
      <c r="D1" s="1"/>
      <c r="E1" s="1"/>
    </row>
    <row r="2" spans="1:5" ht="30" customHeight="1">
      <c r="A2" s="20"/>
      <c r="B2" s="20"/>
      <c r="C2" s="20"/>
      <c r="D2" s="20"/>
      <c r="E2" s="20"/>
    </row>
    <row r="3" spans="1:5" ht="27" customHeight="1">
      <c r="A3" s="21"/>
      <c r="B3" s="21"/>
      <c r="C3" s="21"/>
      <c r="D3" s="21"/>
      <c r="E3" s="21"/>
    </row>
    <row r="4" spans="1:5" ht="27" customHeight="1">
      <c r="A4" s="21"/>
      <c r="B4" s="21"/>
      <c r="C4" s="21"/>
      <c r="D4" s="21"/>
      <c r="E4" s="21"/>
    </row>
    <row r="5" spans="1:5">
      <c r="A5" s="1"/>
      <c r="B5" s="1"/>
      <c r="C5" s="1"/>
      <c r="D5" s="1"/>
      <c r="E5" s="1"/>
    </row>
    <row r="6" spans="1:5" ht="34.049999999999997" customHeight="1">
      <c r="A6" s="6" t="s">
        <v>0</v>
      </c>
      <c r="B6" s="6" t="s">
        <v>1</v>
      </c>
      <c r="C6" s="6" t="s">
        <v>2</v>
      </c>
      <c r="D6" s="6" t="s">
        <v>3</v>
      </c>
      <c r="E6" s="6" t="s">
        <v>4</v>
      </c>
    </row>
    <row r="7" spans="1:5" ht="61.95" customHeight="1">
      <c r="A7" s="7" t="s">
        <v>5</v>
      </c>
      <c r="B7" s="8" t="s">
        <v>6</v>
      </c>
      <c r="C7" s="9"/>
      <c r="D7" s="10"/>
      <c r="E7" s="7" t="s">
        <v>7</v>
      </c>
    </row>
    <row r="8" spans="1:5" ht="61.95" customHeight="1">
      <c r="A8" s="7" t="s">
        <v>8</v>
      </c>
      <c r="B8" s="8" t="s">
        <v>9</v>
      </c>
      <c r="C8" s="9"/>
      <c r="D8" s="10"/>
      <c r="E8" s="7" t="s">
        <v>10</v>
      </c>
    </row>
    <row r="9" spans="1:5" ht="61.95" customHeight="1">
      <c r="A9" s="7" t="s">
        <v>11</v>
      </c>
      <c r="B9" s="8" t="s">
        <v>12</v>
      </c>
      <c r="C9" s="9"/>
      <c r="D9" s="10"/>
      <c r="E9" s="7" t="s">
        <v>7</v>
      </c>
    </row>
    <row r="10" spans="1:5" ht="61.95" customHeight="1">
      <c r="A10" s="2" t="s">
        <v>13</v>
      </c>
      <c r="B10" s="3" t="s">
        <v>14</v>
      </c>
      <c r="C10" s="4"/>
      <c r="D10" s="5"/>
      <c r="E10" s="2" t="s">
        <v>7</v>
      </c>
    </row>
    <row r="11" spans="1:5" ht="61.95" customHeight="1">
      <c r="A11" s="2" t="s">
        <v>15</v>
      </c>
      <c r="B11" s="3" t="s">
        <v>16</v>
      </c>
      <c r="C11" s="4"/>
      <c r="D11" s="5"/>
      <c r="E11" s="2" t="s">
        <v>10</v>
      </c>
    </row>
    <row r="12" spans="1:5" ht="48" customHeight="1">
      <c r="A12" s="7" t="s">
        <v>17</v>
      </c>
      <c r="B12" s="8" t="s">
        <v>18</v>
      </c>
      <c r="C12" s="9" t="s">
        <v>19</v>
      </c>
      <c r="D12" s="10" t="s">
        <v>20</v>
      </c>
      <c r="E12" s="7" t="s">
        <v>21</v>
      </c>
    </row>
    <row r="13" spans="1:5" ht="222" customHeight="1">
      <c r="A13" s="2" t="s">
        <v>22</v>
      </c>
      <c r="B13" s="3" t="s">
        <v>23</v>
      </c>
      <c r="C13" s="4" t="s">
        <v>24</v>
      </c>
      <c r="D13" s="5" t="s">
        <v>25</v>
      </c>
      <c r="E13" s="2" t="s">
        <v>21</v>
      </c>
    </row>
    <row r="14" spans="1:5" ht="61.95" customHeight="1">
      <c r="A14" s="2" t="s">
        <v>26</v>
      </c>
      <c r="B14" s="3" t="s">
        <v>27</v>
      </c>
      <c r="C14" s="4" t="s">
        <v>28</v>
      </c>
      <c r="D14" s="5" t="s">
        <v>29</v>
      </c>
      <c r="E14" s="2" t="s">
        <v>21</v>
      </c>
    </row>
    <row r="15" spans="1:5" ht="111.6" customHeight="1">
      <c r="A15" s="7" t="s">
        <v>30</v>
      </c>
      <c r="B15" s="8" t="s">
        <v>31</v>
      </c>
      <c r="C15" s="9"/>
      <c r="D15" s="10"/>
      <c r="E15" s="7" t="s">
        <v>10</v>
      </c>
    </row>
  </sheetData>
  <mergeCells count="3">
    <mergeCell ref="A2:E2"/>
    <mergeCell ref="A3:E3"/>
    <mergeCell ref="A4:E4"/>
  </mergeCells>
  <conditionalFormatting sqref="E7:E15">
    <cfRule type="containsText" dxfId="22" priority="1" operator="containsText" text="待确认"/>
    <cfRule type="containsText" dxfId="21" priority="2" operator="containsText" text="文案初稿"/>
  </conditionalFormatting>
  <dataValidations count="1">
    <dataValidation type="list" sqref="E7:E15" xr:uid="{00000000-0002-0000-0000-000000000000}">
      <formula1>"已确定,文案初稿,待确认,已回填"</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36F79"/>
  </sheetPr>
  <dimension ref="A2:E24"/>
  <sheetViews>
    <sheetView showGridLines="0" workbookViewId="0">
      <pane xSplit="1" ySplit="6" topLeftCell="B12" activePane="bottomRight" state="frozen"/>
      <selection pane="topRight"/>
      <selection pane="bottomLeft"/>
      <selection pane="bottomRight" activeCell="C10" sqref="C10"/>
    </sheetView>
  </sheetViews>
  <sheetFormatPr defaultRowHeight="13.8"/>
  <cols>
    <col min="1" max="1" width="24" customWidth="1"/>
    <col min="2" max="2" width="65" customWidth="1"/>
    <col min="3" max="3" width="56" customWidth="1"/>
    <col min="4" max="4" width="69" customWidth="1"/>
    <col min="5" max="6" width="14" customWidth="1"/>
  </cols>
  <sheetData>
    <row r="2" spans="1:5" ht="30" customHeight="1"/>
    <row r="3" spans="1:5" ht="27" customHeight="1"/>
    <row r="4" spans="1:5" ht="27" customHeight="1"/>
    <row r="6" spans="1:5" ht="34.049999999999997" customHeight="1">
      <c r="A6" s="6" t="s">
        <v>0</v>
      </c>
      <c r="B6" s="6" t="s">
        <v>1</v>
      </c>
      <c r="C6" s="6" t="s">
        <v>2</v>
      </c>
      <c r="D6" s="6" t="s">
        <v>3</v>
      </c>
      <c r="E6" s="6" t="s">
        <v>4</v>
      </c>
    </row>
    <row r="7" spans="1:5" ht="46.05" customHeight="1">
      <c r="A7" s="11" t="s">
        <v>5</v>
      </c>
      <c r="B7" s="12" t="s">
        <v>170</v>
      </c>
      <c r="C7" s="12" t="s">
        <v>32</v>
      </c>
      <c r="D7" s="14"/>
      <c r="E7" s="11" t="s">
        <v>7</v>
      </c>
    </row>
    <row r="8" spans="1:5" ht="61.95" customHeight="1">
      <c r="A8" s="11" t="s">
        <v>8</v>
      </c>
      <c r="B8" s="12" t="s">
        <v>186</v>
      </c>
      <c r="C8" s="12"/>
      <c r="D8" s="14"/>
      <c r="E8" s="11" t="s">
        <v>10</v>
      </c>
    </row>
    <row r="9" spans="1:5" ht="46.05" customHeight="1">
      <c r="A9" s="11" t="s">
        <v>11</v>
      </c>
      <c r="B9" s="12" t="s">
        <v>187</v>
      </c>
      <c r="C9" s="12" t="s">
        <v>33</v>
      </c>
      <c r="D9" s="14"/>
      <c r="E9" s="11" t="s">
        <v>10</v>
      </c>
    </row>
    <row r="10" spans="1:5" ht="46.05" customHeight="1">
      <c r="A10" s="11" t="s">
        <v>13</v>
      </c>
      <c r="B10" s="12" t="s">
        <v>139</v>
      </c>
      <c r="C10" s="12" t="s">
        <v>139</v>
      </c>
      <c r="D10" s="14"/>
      <c r="E10" s="11" t="s">
        <v>7</v>
      </c>
    </row>
    <row r="11" spans="1:5" ht="61.95" customHeight="1">
      <c r="A11" s="11" t="s">
        <v>17</v>
      </c>
      <c r="B11" s="12" t="s">
        <v>34</v>
      </c>
      <c r="C11" s="13" t="s">
        <v>35</v>
      </c>
      <c r="D11" s="14" t="s">
        <v>36</v>
      </c>
      <c r="E11" s="11" t="s">
        <v>21</v>
      </c>
    </row>
    <row r="12" spans="1:5" ht="190.05" customHeight="1">
      <c r="A12" s="11" t="s">
        <v>22</v>
      </c>
      <c r="B12" s="12" t="s">
        <v>158</v>
      </c>
      <c r="C12" s="13" t="s">
        <v>159</v>
      </c>
      <c r="D12" s="14"/>
      <c r="E12" s="11" t="s">
        <v>21</v>
      </c>
    </row>
    <row r="13" spans="1:5" ht="190.05" customHeight="1">
      <c r="A13" s="11" t="s">
        <v>22</v>
      </c>
      <c r="B13" s="12" t="s">
        <v>168</v>
      </c>
      <c r="C13" s="13" t="s">
        <v>167</v>
      </c>
      <c r="D13" s="14" t="s">
        <v>37</v>
      </c>
      <c r="E13" s="11" t="s">
        <v>21</v>
      </c>
    </row>
    <row r="14" spans="1:5" ht="190.05" customHeight="1">
      <c r="A14" s="11" t="s">
        <v>22</v>
      </c>
      <c r="B14" s="12" t="s">
        <v>160</v>
      </c>
      <c r="C14" s="13" t="s">
        <v>165</v>
      </c>
      <c r="D14" s="14"/>
      <c r="E14" s="11" t="s">
        <v>21</v>
      </c>
    </row>
    <row r="15" spans="1:5" ht="94.05" customHeight="1">
      <c r="A15" s="11" t="s">
        <v>30</v>
      </c>
      <c r="B15" s="12" t="s">
        <v>188</v>
      </c>
      <c r="C15" s="12" t="s">
        <v>164</v>
      </c>
      <c r="D15" s="14"/>
      <c r="E15" s="11" t="s">
        <v>7</v>
      </c>
    </row>
    <row r="16" spans="1:5" ht="61.95" customHeight="1"/>
    <row r="17" ht="94.05" customHeight="1"/>
    <row r="18" ht="78" customHeight="1"/>
    <row r="19" ht="48" customHeight="1"/>
    <row r="20" ht="61.95" customHeight="1"/>
    <row r="21" ht="48" customHeight="1"/>
    <row r="22" ht="61.95" customHeight="1"/>
    <row r="23" ht="48" customHeight="1"/>
    <row r="24" ht="48" customHeight="1"/>
  </sheetData>
  <conditionalFormatting sqref="E7:E15">
    <cfRule type="containsText" dxfId="20" priority="3" operator="containsText" text="待确认"/>
  </conditionalFormatting>
  <conditionalFormatting sqref="F7:F24">
    <cfRule type="containsText" dxfId="19" priority="1" operator="containsText" text="待确认"/>
    <cfRule type="containsText" dxfId="18" priority="2" operator="containsText" text="文案初稿"/>
  </conditionalFormatting>
  <dataValidations count="1">
    <dataValidation type="list" sqref="F7:F24 E7:E15" xr:uid="{00000000-0002-0000-0100-000000000000}">
      <formula1>"已确定,文案初稿,待确认,已回填"</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98357"/>
  </sheetPr>
  <dimension ref="A2:E24"/>
  <sheetViews>
    <sheetView showGridLines="0" workbookViewId="0">
      <pane xSplit="1" ySplit="6" topLeftCell="B12" activePane="bottomRight" state="frozen"/>
      <selection pane="topRight"/>
      <selection pane="bottomLeft"/>
      <selection pane="bottomRight" activeCell="D10" sqref="D10"/>
    </sheetView>
  </sheetViews>
  <sheetFormatPr defaultRowHeight="13.8"/>
  <cols>
    <col min="1" max="1" width="24" customWidth="1"/>
    <col min="2" max="2" width="65" customWidth="1"/>
    <col min="3" max="3" width="56" customWidth="1"/>
    <col min="4" max="4" width="69" customWidth="1"/>
    <col min="5" max="6" width="14" customWidth="1"/>
  </cols>
  <sheetData>
    <row r="2" spans="1:5" ht="30" customHeight="1"/>
    <row r="3" spans="1:5" ht="27" customHeight="1"/>
    <row r="4" spans="1:5" ht="27" customHeight="1"/>
    <row r="6" spans="1:5" ht="34.049999999999997" customHeight="1">
      <c r="A6" s="6" t="s">
        <v>0</v>
      </c>
      <c r="B6" s="6" t="s">
        <v>1</v>
      </c>
      <c r="C6" s="6" t="s">
        <v>2</v>
      </c>
      <c r="D6" s="6" t="s">
        <v>3</v>
      </c>
      <c r="E6" s="6" t="s">
        <v>4</v>
      </c>
    </row>
    <row r="7" spans="1:5" ht="46.05" customHeight="1">
      <c r="A7" s="11" t="s">
        <v>5</v>
      </c>
      <c r="B7" s="12" t="s">
        <v>38</v>
      </c>
      <c r="C7" s="13"/>
      <c r="D7" s="14"/>
      <c r="E7" s="11" t="s">
        <v>10</v>
      </c>
    </row>
    <row r="8" spans="1:5" ht="61.95" customHeight="1">
      <c r="A8" s="11" t="s">
        <v>8</v>
      </c>
      <c r="B8" s="12" t="s">
        <v>39</v>
      </c>
      <c r="C8" s="13"/>
      <c r="D8" s="14"/>
      <c r="E8" s="11" t="s">
        <v>10</v>
      </c>
    </row>
    <row r="9" spans="1:5" ht="107.4" customHeight="1">
      <c r="A9" s="11" t="s">
        <v>11</v>
      </c>
      <c r="B9" s="12" t="s">
        <v>142</v>
      </c>
      <c r="D9" s="14"/>
      <c r="E9" s="11" t="s">
        <v>7</v>
      </c>
    </row>
    <row r="10" spans="1:5" ht="46.05" customHeight="1">
      <c r="A10" s="11" t="s">
        <v>13</v>
      </c>
      <c r="B10" s="12" t="s">
        <v>141</v>
      </c>
      <c r="C10" s="13"/>
      <c r="D10" s="14"/>
      <c r="E10" s="11" t="s">
        <v>7</v>
      </c>
    </row>
    <row r="11" spans="1:5" ht="46.05" customHeight="1">
      <c r="A11" s="11" t="s">
        <v>15</v>
      </c>
      <c r="B11" s="12" t="s">
        <v>40</v>
      </c>
      <c r="C11" s="13"/>
      <c r="D11" s="14"/>
      <c r="E11" s="11" t="s">
        <v>10</v>
      </c>
    </row>
    <row r="12" spans="1:5" ht="61.95" customHeight="1">
      <c r="A12" s="11" t="s">
        <v>17</v>
      </c>
      <c r="B12" s="12" t="s">
        <v>18</v>
      </c>
      <c r="C12" s="13" t="s">
        <v>41</v>
      </c>
      <c r="D12" s="14" t="s">
        <v>42</v>
      </c>
      <c r="E12" s="11" t="s">
        <v>21</v>
      </c>
    </row>
    <row r="13" spans="1:5" ht="78" customHeight="1">
      <c r="A13" s="11" t="s">
        <v>22</v>
      </c>
      <c r="B13" s="12" t="s">
        <v>43</v>
      </c>
      <c r="C13" s="13" t="s">
        <v>44</v>
      </c>
      <c r="D13" s="14" t="s">
        <v>45</v>
      </c>
      <c r="E13" s="11" t="s">
        <v>21</v>
      </c>
    </row>
    <row r="14" spans="1:5" ht="46.05" customHeight="1">
      <c r="A14" s="11" t="s">
        <v>26</v>
      </c>
      <c r="B14" s="12" t="s">
        <v>46</v>
      </c>
      <c r="C14" s="13" t="s">
        <v>47</v>
      </c>
      <c r="D14" s="14" t="s">
        <v>48</v>
      </c>
      <c r="E14" s="11" t="s">
        <v>21</v>
      </c>
    </row>
    <row r="15" spans="1:5" ht="94.05" customHeight="1">
      <c r="A15" s="11" t="s">
        <v>30</v>
      </c>
      <c r="B15" s="12" t="s">
        <v>140</v>
      </c>
      <c r="C15" s="13"/>
      <c r="D15" s="14"/>
      <c r="E15" s="11" t="s">
        <v>7</v>
      </c>
    </row>
    <row r="16" spans="1:5" ht="78" customHeight="1"/>
    <row r="17" ht="78" customHeight="1"/>
    <row r="18" ht="61.95" customHeight="1"/>
    <row r="19" ht="48" customHeight="1"/>
    <row r="20" ht="61.95" customHeight="1"/>
    <row r="21" ht="48" customHeight="1"/>
    <row r="22" ht="48" customHeight="1"/>
    <row r="23" ht="48" customHeight="1"/>
    <row r="24" ht="61.95" customHeight="1"/>
  </sheetData>
  <conditionalFormatting sqref="E7:E15">
    <cfRule type="containsText" dxfId="17" priority="3" operator="containsText" text="待确认"/>
  </conditionalFormatting>
  <conditionalFormatting sqref="F7:F24">
    <cfRule type="containsText" dxfId="16" priority="1" operator="containsText" text="待确认"/>
    <cfRule type="containsText" dxfId="15" priority="2" operator="containsText" text="文案初稿"/>
  </conditionalFormatting>
  <dataValidations count="1">
    <dataValidation type="list" sqref="E7:E15 F7:F24" xr:uid="{00000000-0002-0000-0200-000000000000}">
      <formula1>"已确定,文案初稿,待确认,已回填"</formula1>
    </dataValidation>
  </dataValidation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86685"/>
  </sheetPr>
  <dimension ref="A2:E24"/>
  <sheetViews>
    <sheetView showGridLines="0" workbookViewId="0">
      <pane xSplit="1" ySplit="6" topLeftCell="B9" activePane="bottomRight" state="frozen"/>
      <selection pane="topRight"/>
      <selection pane="bottomLeft"/>
      <selection pane="bottomRight" activeCell="B15" sqref="B15"/>
    </sheetView>
  </sheetViews>
  <sheetFormatPr defaultRowHeight="13.8"/>
  <cols>
    <col min="1" max="1" width="24" customWidth="1"/>
    <col min="2" max="2" width="65" customWidth="1"/>
    <col min="3" max="3" width="56" customWidth="1"/>
    <col min="4" max="4" width="69" customWidth="1"/>
    <col min="5" max="6" width="14" customWidth="1"/>
  </cols>
  <sheetData>
    <row r="2" spans="1:5" ht="30" customHeight="1"/>
    <row r="3" spans="1:5" ht="27" customHeight="1"/>
    <row r="4" spans="1:5" ht="27" customHeight="1"/>
    <row r="6" spans="1:5" ht="34.049999999999997" customHeight="1">
      <c r="A6" s="6" t="s">
        <v>0</v>
      </c>
      <c r="B6" s="6" t="s">
        <v>1</v>
      </c>
      <c r="C6" s="6" t="s">
        <v>2</v>
      </c>
      <c r="D6" s="6" t="s">
        <v>3</v>
      </c>
      <c r="E6" s="6" t="s">
        <v>4</v>
      </c>
    </row>
    <row r="7" spans="1:5" ht="45" customHeight="1">
      <c r="A7" s="11" t="s">
        <v>5</v>
      </c>
      <c r="B7" s="12" t="s">
        <v>143</v>
      </c>
      <c r="C7" s="13"/>
      <c r="D7" s="14"/>
      <c r="E7" s="11" t="s">
        <v>7</v>
      </c>
    </row>
    <row r="8" spans="1:5" ht="74.400000000000006" customHeight="1">
      <c r="A8" s="11" t="s">
        <v>8</v>
      </c>
      <c r="B8" s="12" t="s">
        <v>175</v>
      </c>
      <c r="C8" s="13"/>
      <c r="D8" s="14"/>
      <c r="E8" s="11" t="s">
        <v>7</v>
      </c>
    </row>
    <row r="9" spans="1:5" ht="133.19999999999999" customHeight="1">
      <c r="A9" s="11" t="s">
        <v>11</v>
      </c>
      <c r="B9" s="12" t="s">
        <v>150</v>
      </c>
      <c r="C9" s="13"/>
      <c r="D9" s="14"/>
      <c r="E9" s="11" t="s">
        <v>7</v>
      </c>
    </row>
    <row r="10" spans="1:5" ht="45" customHeight="1">
      <c r="A10" s="11" t="s">
        <v>13</v>
      </c>
      <c r="B10" s="12" t="s">
        <v>144</v>
      </c>
      <c r="C10" s="13"/>
      <c r="D10" s="14"/>
      <c r="E10" s="11" t="s">
        <v>7</v>
      </c>
    </row>
    <row r="11" spans="1:5" ht="100.8" customHeight="1" thickBot="1">
      <c r="A11" s="11" t="s">
        <v>15</v>
      </c>
      <c r="B11" s="12" t="s">
        <v>151</v>
      </c>
      <c r="C11" s="12" t="s">
        <v>145</v>
      </c>
      <c r="D11" s="14"/>
      <c r="E11" s="11" t="s">
        <v>7</v>
      </c>
    </row>
    <row r="12" spans="1:5" ht="45" customHeight="1">
      <c r="A12" s="11" t="s">
        <v>17</v>
      </c>
      <c r="B12" s="19" t="s">
        <v>18</v>
      </c>
      <c r="C12" s="13" t="s">
        <v>146</v>
      </c>
      <c r="D12" s="14"/>
      <c r="E12" s="11" t="s">
        <v>7</v>
      </c>
    </row>
    <row r="13" spans="1:5" ht="150" customHeight="1">
      <c r="A13" s="11" t="s">
        <v>22</v>
      </c>
      <c r="B13" s="12" t="s">
        <v>149</v>
      </c>
      <c r="C13" s="13" t="s">
        <v>148</v>
      </c>
      <c r="D13" s="14"/>
      <c r="E13" s="11" t="s">
        <v>7</v>
      </c>
    </row>
    <row r="14" spans="1:5" ht="45" customHeight="1">
      <c r="A14" s="11" t="s">
        <v>26</v>
      </c>
      <c r="B14" s="12" t="s">
        <v>49</v>
      </c>
      <c r="C14" s="13" t="s">
        <v>147</v>
      </c>
      <c r="D14" s="14"/>
      <c r="E14" s="11" t="s">
        <v>7</v>
      </c>
    </row>
    <row r="15" spans="1:5" ht="135" customHeight="1">
      <c r="A15" s="11" t="s">
        <v>30</v>
      </c>
      <c r="B15" s="12" t="s">
        <v>189</v>
      </c>
      <c r="C15" s="13"/>
      <c r="D15" s="14"/>
      <c r="E15" s="11" t="s">
        <v>7</v>
      </c>
    </row>
    <row r="16" spans="1:5" ht="48" customHeight="1"/>
    <row r="17" ht="48" customHeight="1"/>
    <row r="18" ht="48" customHeight="1"/>
    <row r="19" ht="48" customHeight="1"/>
    <row r="20" ht="48" customHeight="1"/>
    <row r="21" ht="48" customHeight="1"/>
    <row r="22" ht="48" customHeight="1"/>
    <row r="23" ht="48" customHeight="1"/>
    <row r="24" ht="48" customHeight="1"/>
  </sheetData>
  <conditionalFormatting sqref="E7:E15">
    <cfRule type="containsText" dxfId="14" priority="3" operator="containsText" text="待确认"/>
  </conditionalFormatting>
  <conditionalFormatting sqref="F7:F24">
    <cfRule type="containsText" dxfId="13" priority="1" operator="containsText" text="待确认"/>
    <cfRule type="containsText" dxfId="12" priority="2" operator="containsText" text="文案初稿"/>
  </conditionalFormatting>
  <dataValidations count="1">
    <dataValidation type="list" sqref="F7:F24 E7:E15" xr:uid="{00000000-0002-0000-0300-000000000000}">
      <formula1>"已确定,文案初稿,待确认,已回填"</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87742-88CC-441F-B6CA-B13577C13815}">
  <dimension ref="A1:E13"/>
  <sheetViews>
    <sheetView topLeftCell="A3" workbookViewId="0">
      <selection activeCell="C13" sqref="C13"/>
    </sheetView>
  </sheetViews>
  <sheetFormatPr defaultRowHeight="13.8"/>
  <cols>
    <col min="1" max="1" width="24" customWidth="1"/>
    <col min="2" max="2" width="65" customWidth="1"/>
    <col min="3" max="3" width="56" customWidth="1"/>
    <col min="4" max="4" width="69" customWidth="1"/>
    <col min="5" max="5" width="14" customWidth="1"/>
  </cols>
  <sheetData>
    <row r="1" spans="1:5">
      <c r="A1" s="1"/>
      <c r="B1" s="1"/>
      <c r="C1" s="1"/>
      <c r="D1" s="1"/>
      <c r="E1" s="1"/>
    </row>
    <row r="2" spans="1:5" ht="30" customHeight="1">
      <c r="A2" s="20"/>
      <c r="B2" s="20"/>
      <c r="C2" s="20"/>
      <c r="D2" s="20"/>
      <c r="E2" s="20"/>
    </row>
    <row r="3" spans="1:5" ht="27" customHeight="1">
      <c r="A3" s="21"/>
      <c r="B3" s="21"/>
      <c r="C3" s="21"/>
      <c r="D3" s="21"/>
      <c r="E3" s="21"/>
    </row>
    <row r="4" spans="1:5" ht="27" customHeight="1">
      <c r="A4" s="21"/>
      <c r="B4" s="21"/>
      <c r="C4" s="21"/>
      <c r="D4" s="21"/>
      <c r="E4" s="21"/>
    </row>
    <row r="5" spans="1:5">
      <c r="A5" s="1"/>
      <c r="B5" s="1"/>
      <c r="C5" s="1"/>
      <c r="D5" s="1"/>
      <c r="E5" s="1"/>
    </row>
    <row r="6" spans="1:5" ht="34.049999999999997" customHeight="1" thickBot="1">
      <c r="A6" s="6" t="s">
        <v>0</v>
      </c>
      <c r="B6" s="6" t="s">
        <v>1</v>
      </c>
      <c r="C6" s="6" t="s">
        <v>2</v>
      </c>
      <c r="D6" s="6" t="s">
        <v>3</v>
      </c>
      <c r="E6" s="6" t="s">
        <v>4</v>
      </c>
    </row>
    <row r="7" spans="1:5" ht="125.4" customHeight="1" thickBot="1">
      <c r="A7" s="7" t="s">
        <v>5</v>
      </c>
      <c r="B7" s="8" t="s">
        <v>153</v>
      </c>
      <c r="C7" s="9"/>
      <c r="D7" s="10"/>
      <c r="E7" s="7" t="s">
        <v>7</v>
      </c>
    </row>
    <row r="8" spans="1:5" ht="103.8" customHeight="1" thickBot="1">
      <c r="A8" s="7" t="s">
        <v>8</v>
      </c>
      <c r="B8" s="8" t="s">
        <v>154</v>
      </c>
      <c r="C8" s="9" t="s">
        <v>152</v>
      </c>
      <c r="D8" s="10"/>
      <c r="E8" s="7" t="s">
        <v>10</v>
      </c>
    </row>
    <row r="9" spans="1:5" ht="61.95" customHeight="1">
      <c r="A9" s="7" t="s">
        <v>11</v>
      </c>
      <c r="B9" s="8" t="s">
        <v>161</v>
      </c>
      <c r="C9" s="9"/>
      <c r="D9" s="10"/>
      <c r="E9" s="7" t="s">
        <v>7</v>
      </c>
    </row>
    <row r="10" spans="1:5" ht="61.95" customHeight="1">
      <c r="A10" s="2" t="s">
        <v>13</v>
      </c>
      <c r="B10" s="3" t="s">
        <v>162</v>
      </c>
      <c r="C10" s="4"/>
      <c r="D10" s="5"/>
      <c r="E10" s="2" t="s">
        <v>7</v>
      </c>
    </row>
    <row r="11" spans="1:5" ht="61.95" customHeight="1" thickBot="1">
      <c r="A11" s="2" t="s">
        <v>157</v>
      </c>
      <c r="B11" s="3" t="s">
        <v>155</v>
      </c>
      <c r="C11" s="4" t="s">
        <v>163</v>
      </c>
      <c r="D11" s="5"/>
      <c r="E11" s="2" t="s">
        <v>10</v>
      </c>
    </row>
    <row r="12" spans="1:5" ht="48" customHeight="1" thickBot="1">
      <c r="A12" s="7" t="s">
        <v>17</v>
      </c>
      <c r="B12" s="8" t="s">
        <v>18</v>
      </c>
      <c r="C12" s="9" t="s">
        <v>156</v>
      </c>
      <c r="D12" s="10"/>
      <c r="E12" s="7" t="s">
        <v>21</v>
      </c>
    </row>
    <row r="13" spans="1:5" ht="409.2" customHeight="1">
      <c r="A13" s="7" t="s">
        <v>30</v>
      </c>
      <c r="B13" s="8" t="s">
        <v>166</v>
      </c>
      <c r="C13" s="9"/>
      <c r="D13" s="10"/>
      <c r="E13" s="7" t="s">
        <v>10</v>
      </c>
    </row>
  </sheetData>
  <mergeCells count="3">
    <mergeCell ref="A2:E2"/>
    <mergeCell ref="A3:E3"/>
    <mergeCell ref="A4:E4"/>
  </mergeCells>
  <conditionalFormatting sqref="E7:E13">
    <cfRule type="containsText" dxfId="11" priority="1" operator="containsText" text="待确认"/>
    <cfRule type="containsText" dxfId="10" priority="2" operator="containsText" text="文案初稿"/>
  </conditionalFormatting>
  <dataValidations count="1">
    <dataValidation type="list" sqref="E7:E13" xr:uid="{F8182F0B-E517-4A83-A41A-8FA3749B7566}">
      <formula1>"已确定,文案初稿,待确认,已回填"</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D191D-0460-4638-937C-CC5C2E836D4C}">
  <sheetPr>
    <tabColor rgb="FF536F79"/>
  </sheetPr>
  <dimension ref="A2:D21"/>
  <sheetViews>
    <sheetView showGridLines="0" workbookViewId="0">
      <pane xSplit="1" ySplit="6" topLeftCell="B7" activePane="bottomRight" state="frozen"/>
      <selection pane="topRight"/>
      <selection pane="bottomLeft"/>
      <selection pane="bottomRight" activeCell="B8" sqref="B8"/>
    </sheetView>
  </sheetViews>
  <sheetFormatPr defaultRowHeight="13.8"/>
  <cols>
    <col min="1" max="1" width="24" customWidth="1"/>
    <col min="2" max="2" width="56" customWidth="1"/>
    <col min="3" max="3" width="69" customWidth="1"/>
    <col min="4" max="5" width="14" customWidth="1"/>
  </cols>
  <sheetData>
    <row r="2" spans="1:4" ht="30" customHeight="1"/>
    <row r="3" spans="1:4" ht="27" customHeight="1"/>
    <row r="4" spans="1:4" ht="27" customHeight="1"/>
    <row r="6" spans="1:4" ht="34.049999999999997" customHeight="1">
      <c r="A6" s="6" t="s">
        <v>0</v>
      </c>
      <c r="B6" s="6" t="s">
        <v>2</v>
      </c>
      <c r="C6" s="6" t="s">
        <v>3</v>
      </c>
      <c r="D6" s="6" t="s">
        <v>4</v>
      </c>
    </row>
    <row r="7" spans="1:4" ht="46.05" customHeight="1">
      <c r="A7" s="11" t="s">
        <v>5</v>
      </c>
      <c r="B7" s="13" t="s">
        <v>169</v>
      </c>
      <c r="C7" s="14"/>
      <c r="D7" s="11" t="s">
        <v>7</v>
      </c>
    </row>
    <row r="8" spans="1:4" ht="61.95" customHeight="1">
      <c r="A8" s="11" t="s">
        <v>8</v>
      </c>
      <c r="B8" s="13" t="s">
        <v>179</v>
      </c>
      <c r="C8" s="14"/>
      <c r="D8" s="11" t="s">
        <v>10</v>
      </c>
    </row>
    <row r="9" spans="1:4" ht="46.05" customHeight="1">
      <c r="A9" s="11" t="s">
        <v>11</v>
      </c>
      <c r="B9" s="13" t="s">
        <v>171</v>
      </c>
      <c r="C9" s="14"/>
      <c r="D9" s="11" t="s">
        <v>10</v>
      </c>
    </row>
    <row r="10" spans="1:4" ht="46.05" customHeight="1">
      <c r="A10" s="11" t="s">
        <v>13</v>
      </c>
      <c r="B10" s="13" t="s">
        <v>172</v>
      </c>
      <c r="C10" s="14"/>
      <c r="D10" s="11" t="s">
        <v>7</v>
      </c>
    </row>
    <row r="11" spans="1:4" ht="61.95" customHeight="1">
      <c r="A11" s="11" t="s">
        <v>17</v>
      </c>
      <c r="B11" s="13" t="s">
        <v>173</v>
      </c>
      <c r="C11" s="14"/>
      <c r="D11" s="11" t="s">
        <v>21</v>
      </c>
    </row>
    <row r="12" spans="1:4" ht="94.05" customHeight="1">
      <c r="A12" s="11" t="s">
        <v>30</v>
      </c>
      <c r="B12" s="13" t="s">
        <v>174</v>
      </c>
      <c r="C12" s="14"/>
      <c r="D12" s="11" t="s">
        <v>7</v>
      </c>
    </row>
    <row r="13" spans="1:4" ht="61.95" customHeight="1"/>
    <row r="14" spans="1:4" ht="94.05" customHeight="1"/>
    <row r="15" spans="1:4" ht="78" customHeight="1"/>
    <row r="16" spans="1:4" ht="48" customHeight="1"/>
    <row r="17" ht="61.95" customHeight="1"/>
    <row r="18" ht="48" customHeight="1"/>
    <row r="19" ht="61.95" customHeight="1"/>
    <row r="20" ht="48" customHeight="1"/>
    <row r="21" ht="48" customHeight="1"/>
  </sheetData>
  <conditionalFormatting sqref="D7:D12">
    <cfRule type="containsText" dxfId="9" priority="3" operator="containsText" text="待确认"/>
  </conditionalFormatting>
  <conditionalFormatting sqref="E7:E21">
    <cfRule type="containsText" dxfId="8" priority="1" operator="containsText" text="待确认"/>
    <cfRule type="containsText" dxfId="7" priority="2" operator="containsText" text="文案初稿"/>
  </conditionalFormatting>
  <dataValidations count="1">
    <dataValidation type="list" sqref="D7:D12 E7:E21" xr:uid="{60F48CA6-8337-4B52-8912-601CC4FD3624}">
      <formula1>"已确定,文案初稿,待确认,已回填"</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6ABBD-73FA-44D8-AD73-820E01F0CB4B}">
  <sheetPr>
    <tabColor rgb="FF536F79"/>
  </sheetPr>
  <dimension ref="A2:E22"/>
  <sheetViews>
    <sheetView tabSelected="1" topLeftCell="A6" workbookViewId="0">
      <selection activeCell="C12" sqref="C12"/>
    </sheetView>
  </sheetViews>
  <sheetFormatPr defaultRowHeight="13.8"/>
  <cols>
    <col min="1" max="1" width="24" customWidth="1"/>
    <col min="2" max="2" width="56" customWidth="1"/>
    <col min="3" max="3" width="69" customWidth="1"/>
    <col min="4" max="5" width="14" customWidth="1"/>
  </cols>
  <sheetData>
    <row r="2" spans="1:5" ht="30" customHeight="1"/>
    <row r="3" spans="1:5" ht="27" customHeight="1"/>
    <row r="4" spans="1:5" ht="27" customHeight="1"/>
    <row r="6" spans="1:5" ht="34.049999999999997" customHeight="1">
      <c r="A6" s="6" t="s">
        <v>0</v>
      </c>
      <c r="B6" s="6" t="s">
        <v>2</v>
      </c>
      <c r="C6" s="6" t="s">
        <v>3</v>
      </c>
      <c r="D6" s="6" t="s">
        <v>4</v>
      </c>
    </row>
    <row r="7" spans="1:5" ht="46.05" customHeight="1">
      <c r="A7" s="11" t="s">
        <v>5</v>
      </c>
      <c r="B7" s="13" t="s">
        <v>169</v>
      </c>
      <c r="C7" s="14"/>
      <c r="D7" s="11" t="s">
        <v>7</v>
      </c>
    </row>
    <row r="8" spans="1:5" ht="61.95" customHeight="1">
      <c r="A8" s="11" t="s">
        <v>8</v>
      </c>
      <c r="B8" s="13" t="s">
        <v>178</v>
      </c>
      <c r="C8" s="14"/>
      <c r="D8" s="11" t="s">
        <v>10</v>
      </c>
    </row>
    <row r="9" spans="1:5" ht="46.05" customHeight="1">
      <c r="A9" s="11" t="s">
        <v>11</v>
      </c>
      <c r="B9" s="13" t="s">
        <v>176</v>
      </c>
      <c r="C9" s="14"/>
      <c r="D9" s="11" t="s">
        <v>10</v>
      </c>
    </row>
    <row r="10" spans="1:5" ht="46.05" customHeight="1">
      <c r="A10" s="11" t="s">
        <v>13</v>
      </c>
      <c r="B10" s="13" t="s">
        <v>177</v>
      </c>
      <c r="C10" s="14"/>
      <c r="D10" s="11" t="s">
        <v>7</v>
      </c>
    </row>
    <row r="11" spans="1:5" ht="61.95" customHeight="1">
      <c r="A11" s="2" t="s">
        <v>180</v>
      </c>
      <c r="B11" s="3" t="s">
        <v>182</v>
      </c>
      <c r="C11" s="4" t="s">
        <v>181</v>
      </c>
      <c r="D11" s="5"/>
      <c r="E11" s="2" t="s">
        <v>10</v>
      </c>
    </row>
    <row r="12" spans="1:5" ht="103.8" customHeight="1">
      <c r="A12" s="2" t="s">
        <v>180</v>
      </c>
      <c r="B12" s="3" t="s">
        <v>183</v>
      </c>
      <c r="C12" s="4" t="s">
        <v>184</v>
      </c>
      <c r="D12" s="5"/>
      <c r="E12" s="2" t="s">
        <v>10</v>
      </c>
    </row>
    <row r="13" spans="1:5" ht="94.05" customHeight="1">
      <c r="A13" s="11" t="s">
        <v>17</v>
      </c>
      <c r="B13" s="13" t="s">
        <v>173</v>
      </c>
      <c r="C13" s="14"/>
      <c r="D13" s="11" t="s">
        <v>21</v>
      </c>
    </row>
    <row r="14" spans="1:5" ht="121.8" customHeight="1">
      <c r="A14" s="11" t="s">
        <v>30</v>
      </c>
      <c r="B14" s="13" t="s">
        <v>185</v>
      </c>
      <c r="C14" s="14"/>
      <c r="D14" s="11" t="s">
        <v>7</v>
      </c>
    </row>
    <row r="15" spans="1:5" ht="94.05" customHeight="1"/>
    <row r="16" spans="1:5" ht="78" customHeight="1"/>
    <row r="17" ht="48" customHeight="1"/>
    <row r="18" ht="61.95" customHeight="1"/>
    <row r="19" ht="48" customHeight="1"/>
    <row r="20" ht="61.95" customHeight="1"/>
    <row r="21" ht="48" customHeight="1"/>
    <row r="22" ht="48" customHeight="1"/>
  </sheetData>
  <conditionalFormatting sqref="D7:D14">
    <cfRule type="containsText" dxfId="6" priority="5" operator="containsText" text="待确认"/>
  </conditionalFormatting>
  <conditionalFormatting sqref="E7:E22">
    <cfRule type="containsText" dxfId="5" priority="3" operator="containsText" text="待确认"/>
    <cfRule type="containsText" dxfId="4" priority="4" operator="containsText" text="文案初稿"/>
  </conditionalFormatting>
  <conditionalFormatting sqref="E11:E12">
    <cfRule type="containsText" dxfId="3" priority="1" operator="containsText" text="待确认"/>
    <cfRule type="containsText" dxfId="2" priority="2" operator="containsText" text="文案初稿"/>
  </conditionalFormatting>
  <dataValidations count="1">
    <dataValidation type="list" sqref="D13:D14 D7:E12 E13:E22" xr:uid="{9F8B6F38-5F50-47E4-ABE3-5CC85EC2241B}">
      <formula1>"已确定,文案初稿,待确认,已回填"</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36F79"/>
  </sheetPr>
  <dimension ref="A1:H49"/>
  <sheetViews>
    <sheetView showGridLines="0" workbookViewId="0">
      <pane xSplit="1" ySplit="5" topLeftCell="B10" activePane="bottomRight" state="frozen"/>
      <selection pane="topRight"/>
      <selection pane="bottomLeft"/>
      <selection pane="bottomRight" activeCell="C17" sqref="C17"/>
    </sheetView>
  </sheetViews>
  <sheetFormatPr defaultRowHeight="13.8"/>
  <cols>
    <col min="1" max="1" width="30" customWidth="1"/>
    <col min="2" max="2" width="18" customWidth="1"/>
    <col min="3" max="3" width="21" customWidth="1"/>
    <col min="4" max="4" width="20" customWidth="1"/>
    <col min="5" max="5" width="22" customWidth="1"/>
    <col min="6" max="6" width="24" customWidth="1"/>
    <col min="7" max="7" width="27" customWidth="1"/>
    <col min="8" max="8" width="47" customWidth="1"/>
  </cols>
  <sheetData>
    <row r="1" spans="1:8">
      <c r="A1" s="1"/>
      <c r="B1" s="1"/>
      <c r="C1" s="1"/>
      <c r="D1" s="1"/>
      <c r="E1" s="1"/>
      <c r="F1" s="1"/>
      <c r="G1" s="1"/>
      <c r="H1" s="1"/>
    </row>
    <row r="2" spans="1:8" ht="30" customHeight="1">
      <c r="A2" s="20" t="s">
        <v>50</v>
      </c>
      <c r="B2" s="20"/>
      <c r="C2" s="20"/>
      <c r="D2" s="20"/>
      <c r="E2" s="20"/>
      <c r="F2" s="20"/>
      <c r="G2" s="20"/>
      <c r="H2" s="20"/>
    </row>
    <row r="3" spans="1:8" ht="27" customHeight="1">
      <c r="A3" s="23" t="s">
        <v>51</v>
      </c>
      <c r="B3" s="23"/>
      <c r="C3" s="23"/>
      <c r="D3" s="23"/>
      <c r="E3" s="23"/>
      <c r="F3" s="23"/>
      <c r="G3" s="23"/>
      <c r="H3" s="23"/>
    </row>
    <row r="4" spans="1:8" ht="27" customHeight="1">
      <c r="A4" s="23" t="s">
        <v>52</v>
      </c>
      <c r="B4" s="23"/>
      <c r="C4" s="23"/>
      <c r="D4" s="23"/>
      <c r="E4" s="23"/>
      <c r="F4" s="23"/>
      <c r="G4" s="23"/>
      <c r="H4" s="23"/>
    </row>
    <row r="5" spans="1:8" ht="34.950000000000003" customHeight="1">
      <c r="A5" s="15" t="s">
        <v>53</v>
      </c>
      <c r="B5" s="15" t="s">
        <v>54</v>
      </c>
      <c r="C5" s="15" t="s">
        <v>55</v>
      </c>
      <c r="D5" s="15"/>
      <c r="E5" s="15"/>
      <c r="F5" s="15"/>
      <c r="G5" s="15"/>
      <c r="H5" s="15"/>
    </row>
    <row r="6" spans="1:8" ht="27" customHeight="1">
      <c r="A6" s="1" t="s">
        <v>56</v>
      </c>
      <c r="B6" s="17">
        <v>2050</v>
      </c>
      <c r="C6" s="22" t="s">
        <v>57</v>
      </c>
      <c r="D6" s="22"/>
      <c r="E6" s="22"/>
      <c r="F6" s="22"/>
      <c r="G6" s="22"/>
      <c r="H6" s="22"/>
    </row>
    <row r="7" spans="1:8" ht="27" customHeight="1">
      <c r="A7" s="1" t="s">
        <v>58</v>
      </c>
      <c r="B7" s="17">
        <v>50</v>
      </c>
      <c r="C7" s="22" t="s">
        <v>57</v>
      </c>
      <c r="D7" s="22"/>
      <c r="E7" s="22"/>
      <c r="F7" s="22"/>
      <c r="G7" s="22"/>
      <c r="H7" s="22"/>
    </row>
    <row r="8" spans="1:8" ht="27" customHeight="1">
      <c r="A8" s="1" t="s">
        <v>59</v>
      </c>
      <c r="B8" s="18">
        <f>B6-B7</f>
        <v>2000</v>
      </c>
      <c r="C8" s="22" t="s">
        <v>60</v>
      </c>
      <c r="D8" s="22"/>
      <c r="E8" s="22"/>
      <c r="F8" s="22"/>
      <c r="G8" s="22"/>
      <c r="H8" s="22"/>
    </row>
    <row r="9" spans="1:8" ht="27" customHeight="1">
      <c r="A9" s="1" t="s">
        <v>61</v>
      </c>
      <c r="B9" s="17">
        <v>2000</v>
      </c>
      <c r="C9" s="22" t="s">
        <v>62</v>
      </c>
      <c r="D9" s="22"/>
      <c r="E9" s="22"/>
      <c r="F9" s="22"/>
      <c r="G9" s="22"/>
      <c r="H9" s="22"/>
    </row>
    <row r="10" spans="1:8" ht="27" customHeight="1">
      <c r="A10" s="1" t="s">
        <v>63</v>
      </c>
      <c r="B10" s="18">
        <f>B9-B14</f>
        <v>1999</v>
      </c>
      <c r="C10" s="22" t="s">
        <v>64</v>
      </c>
      <c r="D10" s="22"/>
      <c r="E10" s="22"/>
      <c r="F10" s="22"/>
      <c r="G10" s="22"/>
      <c r="H10" s="22"/>
    </row>
    <row r="11" spans="1:8">
      <c r="A11" s="1"/>
      <c r="B11" s="1"/>
      <c r="C11" s="1"/>
      <c r="D11" s="1"/>
      <c r="E11" s="1"/>
      <c r="F11" s="1"/>
      <c r="G11" s="1"/>
      <c r="H11" s="1"/>
    </row>
    <row r="12" spans="1:8">
      <c r="A12" s="24" t="s">
        <v>65</v>
      </c>
      <c r="B12" s="24"/>
      <c r="C12" s="24"/>
      <c r="D12" s="24"/>
      <c r="E12" s="24"/>
      <c r="F12" s="24"/>
      <c r="G12" s="24"/>
      <c r="H12" s="24"/>
    </row>
    <row r="13" spans="1:8" ht="34.950000000000003" customHeight="1">
      <c r="A13" s="15" t="s">
        <v>66</v>
      </c>
      <c r="B13" s="15" t="s">
        <v>67</v>
      </c>
      <c r="C13" s="15" t="s">
        <v>68</v>
      </c>
      <c r="D13" s="15" t="s">
        <v>69</v>
      </c>
      <c r="E13" s="15" t="s">
        <v>70</v>
      </c>
      <c r="F13" s="15" t="s">
        <v>71</v>
      </c>
      <c r="G13" s="15" t="s">
        <v>72</v>
      </c>
      <c r="H13" s="15" t="s">
        <v>73</v>
      </c>
    </row>
    <row r="14" spans="1:8" ht="58.05" customHeight="1">
      <c r="A14" s="1" t="s">
        <v>74</v>
      </c>
      <c r="B14" s="18">
        <v>1</v>
      </c>
      <c r="C14" s="18">
        <f>B9</f>
        <v>2000</v>
      </c>
      <c r="D14" s="18">
        <f>IF(OR(B14="",C14=""),"",C14-B14)</f>
        <v>1999</v>
      </c>
      <c r="E14" s="18">
        <f>IF(D14="","待填",IF(B9&lt;D14,"未出生",B9-D14))</f>
        <v>1</v>
      </c>
      <c r="F14" s="16" t="str">
        <f>IF(D14="","待填终点年",IF(B6&lt;D14,"未出生",IF(B6&gt;C14,"已亡／消失（"&amp;B14&amp;"岁）",B6-D14)))</f>
        <v>已亡／消失（1岁）</v>
      </c>
      <c r="G14" s="1" t="s">
        <v>75</v>
      </c>
      <c r="H14" s="1" t="s">
        <v>76</v>
      </c>
    </row>
    <row r="15" spans="1:8" ht="58.05" customHeight="1">
      <c r="A15" s="1" t="s">
        <v>77</v>
      </c>
      <c r="B15" s="18">
        <v>55</v>
      </c>
      <c r="C15" s="17">
        <v>2030</v>
      </c>
      <c r="D15" s="18">
        <f>IF(OR(B15="",C15=""),"",C15-B15)</f>
        <v>1975</v>
      </c>
      <c r="E15" s="18">
        <v>25</v>
      </c>
      <c r="F15" s="16" t="s">
        <v>138</v>
      </c>
      <c r="G15" s="1" t="s">
        <v>78</v>
      </c>
      <c r="H15" s="1" t="s">
        <v>79</v>
      </c>
    </row>
    <row r="16" spans="1:8" ht="58.05" customHeight="1">
      <c r="A16" s="1" t="s">
        <v>80</v>
      </c>
      <c r="B16" s="18">
        <v>50</v>
      </c>
      <c r="C16" s="17">
        <v>2025</v>
      </c>
      <c r="D16" s="18">
        <f>IF(OR(B16="",C16=""),"",C16-B16)</f>
        <v>1975</v>
      </c>
      <c r="E16" s="18">
        <f>IF(D16="","待填",IF(B9&lt;D16,"未出生",B9-D16))</f>
        <v>25</v>
      </c>
      <c r="F16" s="16" t="str">
        <f>IF(D16="","待填终点年",IF(B6&lt;D16,"未出生",IF(B6&gt;C16,"已亡／消失（"&amp;B16&amp;"岁）",B6-D16)))</f>
        <v>已亡／消失（50岁）</v>
      </c>
      <c r="G16" s="1" t="s">
        <v>81</v>
      </c>
      <c r="H16" s="1" t="s">
        <v>82</v>
      </c>
    </row>
    <row r="17" spans="1:8" ht="58.05" customHeight="1">
      <c r="A17" s="1" t="s">
        <v>83</v>
      </c>
      <c r="B17" s="17"/>
      <c r="C17" s="17"/>
      <c r="D17" s="18" t="str">
        <f>IF(OR(B17="",C17=""),"",C17-B17)</f>
        <v/>
      </c>
      <c r="E17" s="18" t="str">
        <f>IF(D17="","待填",IF(B9&lt;D17,"未出生",B9-D17))</f>
        <v>待填</v>
      </c>
      <c r="F17" s="16" t="str">
        <f>IF(D17="","待填离开年龄／年",IF(B6&lt;D17,"未出生","若存活 "&amp;(B6-D17)&amp;" 岁"))</f>
        <v>待填离开年龄／年</v>
      </c>
      <c r="G17" s="1" t="s">
        <v>84</v>
      </c>
      <c r="H17" s="1" t="s">
        <v>85</v>
      </c>
    </row>
    <row r="18" spans="1:8" ht="30" customHeight="1">
      <c r="A18" s="23" t="s">
        <v>86</v>
      </c>
      <c r="B18" s="23"/>
      <c r="C18" s="23"/>
      <c r="D18" s="23"/>
      <c r="E18" s="23"/>
      <c r="F18" s="23"/>
      <c r="G18" s="23"/>
      <c r="H18" s="23"/>
    </row>
    <row r="19" spans="1:8">
      <c r="A19" s="1"/>
      <c r="B19" s="1"/>
      <c r="C19" s="1"/>
      <c r="D19" s="1"/>
      <c r="E19" s="1"/>
      <c r="F19" s="1"/>
      <c r="G19" s="1"/>
      <c r="H19" s="1"/>
    </row>
    <row r="20" spans="1:8">
      <c r="A20" s="1"/>
      <c r="B20" s="1"/>
      <c r="C20" s="1"/>
      <c r="D20" s="1"/>
      <c r="E20" s="1"/>
      <c r="F20" s="1"/>
      <c r="G20" s="1"/>
      <c r="H20" s="1"/>
    </row>
    <row r="21" spans="1:8" ht="34.950000000000003" customHeight="1">
      <c r="A21" s="15" t="s">
        <v>87</v>
      </c>
      <c r="B21" s="15" t="s">
        <v>88</v>
      </c>
      <c r="C21" s="15" t="s">
        <v>89</v>
      </c>
      <c r="D21" s="15" t="s">
        <v>90</v>
      </c>
      <c r="E21" s="15" t="s">
        <v>91</v>
      </c>
      <c r="F21" s="15" t="s">
        <v>92</v>
      </c>
      <c r="G21" s="15" t="s">
        <v>93</v>
      </c>
      <c r="H21" s="15" t="s">
        <v>94</v>
      </c>
    </row>
    <row r="22" spans="1:8" ht="58.05" customHeight="1">
      <c r="A22" s="1" t="s">
        <v>95</v>
      </c>
      <c r="B22" s="18">
        <f>B10</f>
        <v>1999</v>
      </c>
      <c r="C22" s="18">
        <f t="shared" ref="C22:C29" si="0">IF(B22="","待填",B22-$B$9)</f>
        <v>-1</v>
      </c>
      <c r="D22" s="18">
        <f t="shared" ref="D22:D29" si="1">IF(B22="","待填年份",IF($D$15="","待填人物年份",IF(B22&lt;$D$15,"未出生",IF(B22&gt;$C$15,"已亡／消失（"&amp;$B$15&amp;"岁）",B22-$D$15))))</f>
        <v>24</v>
      </c>
      <c r="E22" s="18">
        <f t="shared" ref="E22:E29" si="2">IF(B22="","待填年份",IF($D$16="","待填人物年份",IF(B22&lt;$D$16,"未出生",IF(B22&gt;$C$16,"已亡／消失（"&amp;$B$16&amp;"岁）",B22-$D$16))))</f>
        <v>24</v>
      </c>
      <c r="F22" s="18" t="str">
        <f t="shared" ref="F22:F29" si="3">IF(B22="","待填年份",IF($D$17="","待填人物年份",IF(B22&lt;$D$17,"未出生",IF(B22&gt;$C$17,"若存活 "&amp;(B22-$D$17)&amp;"岁",B22-$D$17))))</f>
        <v>待填人物年份</v>
      </c>
      <c r="G22" s="18">
        <f t="shared" ref="G22:G29" si="4">IF(B22="","待填年份",IF($D$14="","待填人物年份",IF(B22&lt;$D$14,"未出生",IF(B22&gt;$C$14,"已亡／消失（"&amp;$B$14&amp;"岁）",B22-$D$14))))</f>
        <v>0</v>
      </c>
      <c r="H22" s="1" t="s">
        <v>96</v>
      </c>
    </row>
    <row r="23" spans="1:8" ht="58.05" customHeight="1">
      <c r="A23" s="1" t="s">
        <v>97</v>
      </c>
      <c r="B23" s="18">
        <f>B9</f>
        <v>2000</v>
      </c>
      <c r="C23" s="18">
        <f t="shared" si="0"/>
        <v>0</v>
      </c>
      <c r="D23" s="18">
        <f t="shared" si="1"/>
        <v>25</v>
      </c>
      <c r="E23" s="18">
        <f t="shared" si="2"/>
        <v>25</v>
      </c>
      <c r="F23" s="18" t="str">
        <f t="shared" si="3"/>
        <v>待填人物年份</v>
      </c>
      <c r="G23" s="18">
        <f t="shared" si="4"/>
        <v>1</v>
      </c>
      <c r="H23" s="1" t="s">
        <v>98</v>
      </c>
    </row>
    <row r="24" spans="1:8" ht="58.05" customHeight="1">
      <c r="A24" s="1" t="s">
        <v>99</v>
      </c>
      <c r="B24" s="18">
        <f>B8</f>
        <v>2000</v>
      </c>
      <c r="C24" s="18">
        <f t="shared" si="0"/>
        <v>0</v>
      </c>
      <c r="D24" s="18">
        <f t="shared" si="1"/>
        <v>25</v>
      </c>
      <c r="E24" s="18">
        <f t="shared" si="2"/>
        <v>25</v>
      </c>
      <c r="F24" s="18" t="str">
        <f t="shared" si="3"/>
        <v>待填人物年份</v>
      </c>
      <c r="G24" s="18">
        <f t="shared" si="4"/>
        <v>1</v>
      </c>
      <c r="H24" s="1" t="s">
        <v>100</v>
      </c>
    </row>
    <row r="25" spans="1:8" ht="58.05" customHeight="1">
      <c r="A25" s="1" t="s">
        <v>101</v>
      </c>
      <c r="B25" s="18">
        <f>IF(C16="","",C16)</f>
        <v>2025</v>
      </c>
      <c r="C25" s="18">
        <f t="shared" si="0"/>
        <v>25</v>
      </c>
      <c r="D25" s="18">
        <f t="shared" si="1"/>
        <v>50</v>
      </c>
      <c r="E25" s="18">
        <f t="shared" si="2"/>
        <v>50</v>
      </c>
      <c r="F25" s="18" t="str">
        <f t="shared" si="3"/>
        <v>待填人物年份</v>
      </c>
      <c r="G25" s="18" t="str">
        <f t="shared" si="4"/>
        <v>已亡／消失（1岁）</v>
      </c>
      <c r="H25" s="1" t="s">
        <v>102</v>
      </c>
    </row>
    <row r="26" spans="1:8" ht="58.05" customHeight="1">
      <c r="A26" s="1" t="s">
        <v>103</v>
      </c>
      <c r="B26" s="18" t="str">
        <f>IF(C17="","",C17)</f>
        <v/>
      </c>
      <c r="C26" s="18" t="str">
        <f t="shared" si="0"/>
        <v>待填</v>
      </c>
      <c r="D26" s="18" t="str">
        <f t="shared" si="1"/>
        <v>待填年份</v>
      </c>
      <c r="E26" s="18" t="str">
        <f t="shared" si="2"/>
        <v>待填年份</v>
      </c>
      <c r="F26" s="18" t="str">
        <f t="shared" si="3"/>
        <v>待填年份</v>
      </c>
      <c r="G26" s="18" t="str">
        <f t="shared" si="4"/>
        <v>待填年份</v>
      </c>
      <c r="H26" s="1" t="s">
        <v>104</v>
      </c>
    </row>
    <row r="27" spans="1:8" ht="58.05" customHeight="1">
      <c r="A27" s="1" t="s">
        <v>105</v>
      </c>
      <c r="B27" s="17"/>
      <c r="C27" s="18" t="str">
        <f t="shared" si="0"/>
        <v>待填</v>
      </c>
      <c r="D27" s="18" t="str">
        <f t="shared" si="1"/>
        <v>待填年份</v>
      </c>
      <c r="E27" s="18" t="str">
        <f t="shared" si="2"/>
        <v>待填年份</v>
      </c>
      <c r="F27" s="18" t="str">
        <f t="shared" si="3"/>
        <v>待填年份</v>
      </c>
      <c r="G27" s="18" t="str">
        <f t="shared" si="4"/>
        <v>待填年份</v>
      </c>
      <c r="H27" s="1" t="s">
        <v>106</v>
      </c>
    </row>
    <row r="28" spans="1:8" ht="58.05" customHeight="1">
      <c r="A28" s="1" t="s">
        <v>107</v>
      </c>
      <c r="B28" s="18">
        <f>IF(C15="","",C15)</f>
        <v>2030</v>
      </c>
      <c r="C28" s="18">
        <f t="shared" si="0"/>
        <v>30</v>
      </c>
      <c r="D28" s="18">
        <f t="shared" si="1"/>
        <v>55</v>
      </c>
      <c r="E28" s="18" t="str">
        <f t="shared" si="2"/>
        <v>已亡／消失（50岁）</v>
      </c>
      <c r="F28" s="18" t="str">
        <f t="shared" si="3"/>
        <v>待填人物年份</v>
      </c>
      <c r="G28" s="18" t="str">
        <f t="shared" si="4"/>
        <v>已亡／消失（1岁）</v>
      </c>
      <c r="H28" s="1" t="s">
        <v>108</v>
      </c>
    </row>
    <row r="29" spans="1:8" ht="58.05" customHeight="1">
      <c r="A29" s="1" t="s">
        <v>109</v>
      </c>
      <c r="B29" s="18">
        <f>B6</f>
        <v>2050</v>
      </c>
      <c r="C29" s="18">
        <f t="shared" si="0"/>
        <v>50</v>
      </c>
      <c r="D29" s="18" t="str">
        <f t="shared" si="1"/>
        <v>已亡／消失（55岁）</v>
      </c>
      <c r="E29" s="18" t="str">
        <f t="shared" si="2"/>
        <v>已亡／消失（50岁）</v>
      </c>
      <c r="F29" s="18" t="str">
        <f t="shared" si="3"/>
        <v>待填人物年份</v>
      </c>
      <c r="G29" s="18" t="str">
        <f t="shared" si="4"/>
        <v>已亡／消失（1岁）</v>
      </c>
      <c r="H29" s="1" t="s">
        <v>110</v>
      </c>
    </row>
    <row r="30" spans="1:8">
      <c r="A30" s="1"/>
      <c r="B30" s="1"/>
      <c r="C30" s="1"/>
      <c r="D30" s="1"/>
      <c r="E30" s="1"/>
      <c r="F30" s="1"/>
      <c r="G30" s="1"/>
      <c r="H30" s="1"/>
    </row>
    <row r="31" spans="1:8">
      <c r="A31" s="24" t="s">
        <v>111</v>
      </c>
      <c r="B31" s="24"/>
      <c r="C31" s="24"/>
      <c r="D31" s="24"/>
      <c r="E31" s="24"/>
      <c r="F31" s="24"/>
      <c r="G31" s="24"/>
      <c r="H31" s="24"/>
    </row>
    <row r="32" spans="1:8" ht="34.950000000000003" customHeight="1">
      <c r="A32" s="15" t="s">
        <v>112</v>
      </c>
      <c r="B32" s="15" t="s">
        <v>113</v>
      </c>
      <c r="C32" s="15"/>
      <c r="D32" s="15" t="s">
        <v>114</v>
      </c>
      <c r="E32" s="15"/>
      <c r="F32" s="15"/>
      <c r="G32" s="15"/>
      <c r="H32" s="15"/>
    </row>
    <row r="33" spans="1:8" ht="49.95" customHeight="1">
      <c r="A33" s="1" t="s">
        <v>115</v>
      </c>
      <c r="B33" s="22" t="str">
        <f>IF(AND(B6=2050,B7=50,B8=2000),"一致：2000 年","锚点已修改，请确认")</f>
        <v>一致：2000 年</v>
      </c>
      <c r="C33" s="22"/>
      <c r="D33" s="22" t="s">
        <v>116</v>
      </c>
      <c r="E33" s="22"/>
      <c r="F33" s="22"/>
      <c r="G33" s="22"/>
      <c r="H33" s="22"/>
    </row>
    <row r="34" spans="1:8" ht="49.95" customHeight="1">
      <c r="A34" s="1" t="s">
        <v>117</v>
      </c>
      <c r="B34" s="22" t="str">
        <f>IF(B9=B8,"暂按同年，待确认","相差 "&amp;ABS(B9-B8)&amp;" 年")</f>
        <v>暂按同年，待确认</v>
      </c>
      <c r="C34" s="22"/>
      <c r="D34" s="22" t="s">
        <v>118</v>
      </c>
      <c r="E34" s="22"/>
      <c r="F34" s="22"/>
      <c r="G34" s="22"/>
      <c r="H34" s="22"/>
    </row>
    <row r="35" spans="1:8" ht="49.95" customHeight="1">
      <c r="A35" s="1" t="s">
        <v>119</v>
      </c>
      <c r="B35" s="22" t="str">
        <f>IF(B7&gt;10,"措辞冲突","请核对措辞")</f>
        <v>措辞冲突</v>
      </c>
      <c r="C35" s="22"/>
      <c r="D35" s="22" t="s">
        <v>120</v>
      </c>
      <c r="E35" s="22"/>
      <c r="F35" s="22"/>
      <c r="G35" s="22"/>
      <c r="H35" s="22"/>
    </row>
    <row r="36" spans="1:8" ht="49.95" customHeight="1">
      <c r="A36" s="1" t="s">
        <v>121</v>
      </c>
      <c r="B36" s="22" t="str">
        <f>IF(OR(C15="",C16="",B17="",C17=""),"待填，不能定论","已具备年龄计算输入")</f>
        <v>待填，不能定论</v>
      </c>
      <c r="C36" s="22"/>
      <c r="D36" s="22" t="s">
        <v>122</v>
      </c>
      <c r="E36" s="22"/>
      <c r="F36" s="22"/>
      <c r="G36" s="22"/>
      <c r="H36" s="22"/>
    </row>
    <row r="37" spans="1:8" ht="49.95" customHeight="1">
      <c r="A37" s="1" t="s">
        <v>123</v>
      </c>
      <c r="B37" s="22" t="str">
        <f>IF(OR(D15="",D16=""),"待填人物年份",IF(OR(D15&gt;B9,D16&gt;B9),"冲突：父母尚未出生",IF(OR(C15&lt;B9,C16&lt;B9),"冲突：父母此前已亡","年龄先后未见硬冲突")))</f>
        <v>年龄先后未见硬冲突</v>
      </c>
      <c r="C37" s="22"/>
      <c r="D37" s="22" t="s">
        <v>124</v>
      </c>
      <c r="E37" s="22"/>
      <c r="F37" s="22"/>
      <c r="G37" s="22"/>
      <c r="H37" s="22"/>
    </row>
    <row r="38" spans="1:8" ht="49.95" customHeight="1">
      <c r="A38" s="1" t="s">
        <v>125</v>
      </c>
      <c r="B38" s="22" t="str">
        <f>IF(D17="","待填姐姐信息",IF(D17&gt;=D14,"冲突：姐姐不年长","先后相符"))</f>
        <v>待填姐姐信息</v>
      </c>
      <c r="C38" s="22"/>
      <c r="D38" s="22" t="s">
        <v>126</v>
      </c>
      <c r="E38" s="22"/>
      <c r="F38" s="22"/>
      <c r="G38" s="22"/>
      <c r="H38" s="22"/>
    </row>
    <row r="39" spans="1:8" ht="49.95" customHeight="1">
      <c r="A39" s="1" t="s">
        <v>127</v>
      </c>
      <c r="B39" s="22" t="str">
        <f>IF(D17="","待填，不能定论",IF(B6&lt;D17,"冲突：尚未出生","若存活 "&amp;(B6-D17)&amp;" 岁"))</f>
        <v>待填，不能定论</v>
      </c>
      <c r="C39" s="22"/>
      <c r="D39" s="22" t="s">
        <v>128</v>
      </c>
      <c r="E39" s="22"/>
      <c r="F39" s="22"/>
      <c r="G39" s="22"/>
      <c r="H39" s="22"/>
    </row>
    <row r="40" spans="1:8" ht="49.95" customHeight="1">
      <c r="A40" s="1" t="s">
        <v>129</v>
      </c>
      <c r="B40" s="22" t="str">
        <f>IF(B27="","待填回溯年份",IF(B27&gt;B6,"冲突：晚于调查年","可计算回溯年数"))</f>
        <v>待填回溯年份</v>
      </c>
      <c r="C40" s="22"/>
      <c r="D40" s="22" t="s">
        <v>130</v>
      </c>
      <c r="E40" s="22"/>
      <c r="F40" s="22"/>
      <c r="G40" s="22"/>
      <c r="H40" s="22"/>
    </row>
    <row r="41" spans="1:8" ht="49.95" customHeight="1">
      <c r="A41" s="1" t="s">
        <v>131</v>
      </c>
      <c r="B41" s="22" t="s">
        <v>132</v>
      </c>
      <c r="C41" s="22"/>
      <c r="D41" s="22" t="s">
        <v>133</v>
      </c>
      <c r="E41" s="22"/>
      <c r="F41" s="22"/>
      <c r="G41" s="22"/>
      <c r="H41" s="22"/>
    </row>
    <row r="42" spans="1:8" ht="49.95" customHeight="1">
      <c r="A42" s="1" t="s">
        <v>134</v>
      </c>
      <c r="B42" s="22" t="s">
        <v>135</v>
      </c>
      <c r="C42" s="22"/>
      <c r="D42" s="22" t="s">
        <v>136</v>
      </c>
      <c r="E42" s="22"/>
      <c r="F42" s="22"/>
      <c r="G42" s="22"/>
      <c r="H42" s="22"/>
    </row>
    <row r="43" spans="1:8">
      <c r="A43" s="1"/>
      <c r="B43" s="1"/>
      <c r="C43" s="1"/>
      <c r="D43" s="1"/>
      <c r="E43" s="1"/>
      <c r="F43" s="1"/>
      <c r="G43" s="1"/>
      <c r="H43" s="1"/>
    </row>
    <row r="44" spans="1:8">
      <c r="A44" s="1"/>
      <c r="B44" s="1"/>
      <c r="C44" s="1"/>
      <c r="D44" s="1"/>
      <c r="E44" s="1"/>
      <c r="F44" s="1"/>
      <c r="G44" s="1"/>
      <c r="H44" s="1"/>
    </row>
    <row r="45" spans="1:8" ht="30" customHeight="1">
      <c r="A45" s="23" t="s">
        <v>137</v>
      </c>
      <c r="B45" s="23"/>
      <c r="C45" s="23"/>
      <c r="D45" s="23"/>
      <c r="E45" s="23"/>
      <c r="F45" s="23"/>
      <c r="G45" s="23"/>
      <c r="H45" s="23"/>
    </row>
    <row r="46" spans="1:8">
      <c r="A46" s="1"/>
      <c r="B46" s="1"/>
      <c r="C46" s="1"/>
      <c r="D46" s="1"/>
      <c r="E46" s="1"/>
      <c r="F46" s="1"/>
      <c r="G46" s="1"/>
      <c r="H46" s="1"/>
    </row>
    <row r="47" spans="1:8">
      <c r="A47" s="1"/>
      <c r="B47" s="1"/>
      <c r="C47" s="1"/>
      <c r="D47" s="1"/>
      <c r="E47" s="1"/>
      <c r="F47" s="1"/>
      <c r="G47" s="1"/>
      <c r="H47" s="1"/>
    </row>
    <row r="48" spans="1:8">
      <c r="A48" s="1"/>
      <c r="B48" s="1"/>
      <c r="C48" s="1"/>
      <c r="D48" s="1"/>
      <c r="E48" s="1"/>
      <c r="F48" s="1"/>
      <c r="G48" s="1"/>
      <c r="H48" s="1"/>
    </row>
    <row r="49" spans="1:8">
      <c r="A49" s="1"/>
      <c r="B49" s="1"/>
      <c r="C49" s="1"/>
      <c r="D49" s="1"/>
      <c r="E49" s="1"/>
      <c r="F49" s="1"/>
      <c r="G49" s="1"/>
      <c r="H49" s="1"/>
    </row>
  </sheetData>
  <mergeCells count="32">
    <mergeCell ref="A2:H2"/>
    <mergeCell ref="A3:H3"/>
    <mergeCell ref="A4:H4"/>
    <mergeCell ref="C6:H6"/>
    <mergeCell ref="C7:H7"/>
    <mergeCell ref="C8:H8"/>
    <mergeCell ref="C9:H9"/>
    <mergeCell ref="C10:H10"/>
    <mergeCell ref="A12:H12"/>
    <mergeCell ref="A18:H18"/>
    <mergeCell ref="A31:H31"/>
    <mergeCell ref="B33:C33"/>
    <mergeCell ref="D33:H33"/>
    <mergeCell ref="B34:C34"/>
    <mergeCell ref="D34:H34"/>
    <mergeCell ref="B35:C35"/>
    <mergeCell ref="D35:H35"/>
    <mergeCell ref="B36:C36"/>
    <mergeCell ref="D36:H36"/>
    <mergeCell ref="B37:C37"/>
    <mergeCell ref="D37:H37"/>
    <mergeCell ref="B38:C38"/>
    <mergeCell ref="D38:H38"/>
    <mergeCell ref="B39:C39"/>
    <mergeCell ref="D39:H39"/>
    <mergeCell ref="B40:C40"/>
    <mergeCell ref="D40:H40"/>
    <mergeCell ref="B41:C41"/>
    <mergeCell ref="D41:H41"/>
    <mergeCell ref="B42:C42"/>
    <mergeCell ref="D42:H42"/>
    <mergeCell ref="A45:H45"/>
  </mergeCells>
  <conditionalFormatting sqref="B33:C42">
    <cfRule type="containsText" dxfId="1" priority="1" operator="containsText" text="冲突"/>
    <cfRule type="containsText" dxfId="0" priority="2" operator="containsText" text="待"/>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01_婴儿小碑</vt:lpstr>
      <vt:lpstr>02_学者晶石碑</vt:lpstr>
      <vt:lpstr>03_大亨金钱碑</vt:lpstr>
      <vt:lpstr>04_小女孩终局碑</vt:lpstr>
      <vt:lpstr>05_婴儿夜城祭坛</vt:lpstr>
      <vt:lpstr>06_夜母石碑</vt:lpstr>
      <vt:lpstr>07_夜父石碑</vt:lpstr>
      <vt:lpstr>05_年表与年龄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Yixing Zhang</cp:lastModifiedBy>
  <dcterms:modified xsi:type="dcterms:W3CDTF">2026-10-30T23:11:15Z</dcterms:modified>
</cp:coreProperties>
</file>